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49dd647f8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79b9a8eac3f4dae"/>
    <x:sheet xmlns:r="http://schemas.openxmlformats.org/officeDocument/2006/relationships" name="Models" sheetId="2" r:id="R729a14de957648c1"/>
    <x:sheet xmlns:r="http://schemas.openxmlformats.org/officeDocument/2006/relationships" name="Calibration" sheetId="3" r:id="R37951093495b457f"/>
    <x:sheet xmlns:r="http://schemas.openxmlformats.org/officeDocument/2006/relationships" name="Gait targets" sheetId="4" r:id="R4e261cd0d2af403b"/>
    <x:sheet xmlns:r="http://schemas.openxmlformats.org/officeDocument/2006/relationships" name="Body controls" sheetId="5" r:id="R8c756442df214c27"/>
    <x:sheet xmlns:r="http://schemas.openxmlformats.org/officeDocument/2006/relationships" name="Integration" sheetId="6" r:id="R3dcdd28d62e948f8"/>
    <x:sheet xmlns:r="http://schemas.openxmlformats.org/officeDocument/2006/relationships" name="Evidence" sheetId="7" r:id="R05e064ce9455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@"/>
    <x:numFmt numFmtId="202" formatCode="0.000"/>
    <x:numFmt numFmtId="203" formatCode="#,##0.0"/>
    <x:numFmt numFmtId="204" formatCode="0.00"/>
  </x:numFmts>
  <x:fonts count="6">
    <x:font>
      <x:sz val="11"/>
      <x:name val="Carlito"/>
    </x:font>
    <x:font>
      <x:sz val="11"/>
      <x:color rgb="FF17332F"/>
      <x:name val="Calibri"/>
    </x:font>
    <x:font>
      <x:b/>
      <x:sz val="11"/>
      <x:color rgb="FFFFFFFF"/>
      <x:name val="Calibri"/>
    </x:font>
    <x:font>
      <x:sz val="11"/>
      <x:color rgb="FF5D6B67"/>
      <x:name val="Calibri"/>
    </x:font>
    <x:font>
      <x:b/>
      <x:sz val="11"/>
      <x:color rgb="FF17332F"/>
      <x:name val="Calibri"/>
    </x:font>
    <x:font>
      <x:sz val="11"/>
      <x:color rgb="FF2458A5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32F"/>
      </x:patternFill>
    </x:fill>
    <x:fill>
      <x:patternFill patternType="solid">
        <x:fgColor rgb="FFEDF4F0"/>
      </x:patternFill>
    </x:fill>
    <x:fill>
      <x:patternFill patternType="solid">
        <x:fgColor rgb="FF254A43"/>
      </x:patternFill>
    </x:fill>
    <x:fill>
      <x:patternFill patternType="solid">
        <x:fgColor rgb="FFEAF2FF"/>
      </x:patternFill>
    </x:fill>
    <x:fill>
      <x:patternFill patternType="solid">
        <x:fgColor rgb="FFFFF3D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2" fontId="5" fillId="6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5" fillId="6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5" fillId="6" borderId="0" xfId="0" applyNumberFormat="1" applyFont="1" applyFill="1" applyBorder="1" applyAlignment="1">
      <x:alignment vertical="center" wrapText="1"/>
    </x:xf>
    <x:xf numFmtId="203" fontId="5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204" fontId="1" fillId="7" borderId="0" xfId="0" applyNumberFormat="1" applyFont="1" applyFill="1" applyBorder="1" applyAlignment="1">
      <x:alignment vertical="center" wrapText="1"/>
    </x:xf>
    <x:xf numFmtId="204" fontId="1" fillId="7" borderId="1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2" fontId="1" fillId="7" borderId="1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f4845fc364d69" /><Relationship Type="http://schemas.openxmlformats.org/officeDocument/2006/relationships/theme" Target="/xl/theme/theme1.xml" Id="Rb92142f2d3dd4d20" /><Relationship Type="http://schemas.openxmlformats.org/officeDocument/2006/relationships/sharedStrings" Target="/xl/sharedStrings.xml" Id="Rb4fd330c7a1b4a5f" /><Relationship Type="http://schemas.openxmlformats.org/officeDocument/2006/relationships/worksheet" Target="/xl/worksheets/sheet1.xml" Id="R279b9a8eac3f4dae" /><Relationship Type="http://schemas.openxmlformats.org/officeDocument/2006/relationships/worksheet" Target="/xl/worksheets/sheet2.xml" Id="R729a14de957648c1" /><Relationship Type="http://schemas.openxmlformats.org/officeDocument/2006/relationships/worksheet" Target="/xl/worksheets/sheet3.xml" Id="R37951093495b457f" /><Relationship Type="http://schemas.openxmlformats.org/officeDocument/2006/relationships/worksheet" Target="/xl/worksheets/sheet4.xml" Id="R4e261cd0d2af403b" /><Relationship Type="http://schemas.openxmlformats.org/officeDocument/2006/relationships/worksheet" Target="/xl/worksheets/sheet5.xml" Id="R8c756442df214c27" /><Relationship Type="http://schemas.openxmlformats.org/officeDocument/2006/relationships/worksheet" Target="/xl/worksheets/sheet6.xml" Id="R3dcdd28d62e948f8" /><Relationship Type="http://schemas.openxmlformats.org/officeDocument/2006/relationships/worksheet" Target="/xl/worksheets/sheet7.xml" Id="R05e064ce94554bad" /></Relationships>
</file>

<file path=xl/tables/table1.xml><?xml version="1.0" encoding="utf-8"?>
<x:table xmlns:x="http://schemas.openxmlformats.org/spreadsheetml/2006/main" id="1" name="StarthereTable" displayName="StarthereTable" ref="A5:E15" headerRowCount="1" totalsRowCount="0" totalsRowShown="0">
  <x:tableColumns count="5">
    <x:tableColumn id="1" name="Topic"/>
    <x:tableColumn id="2" name="At a glance"/>
    <x:tableColumn id="3" name="Meaning"/>
    <x:tableColumn id="4" name="Boundary"/>
    <x:tableColumn id="5" name="Sourc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Table" displayName="ModelsTable" ref="A5:L10" headerRowCount="1" totalsRowCount="0" totalsRowShown="0">
  <x:tableColumns count="12">
    <x:tableColumn id="1" name="Taxon"/>
    <x:tableColumn id="2" name="Exact source file"/>
    <x:tableColumn id="3" name="Git blob SHA-1"/>
    <x:tableColumn id="4" name="Proposed life stage"/>
    <x:tableColumn id="5" name="Proposed engineering family"/>
    <x:tableColumn id="6" name="Anatomical evidence / interpretation"/>
    <x:tableColumn id="7" name="Comparator specimen"/>
    <x:tableColumn id="8" name="Literature mass anchor (kg)"/>
    <x:tableColumn id="9" name="Anchor boundary"/>
    <x:tableColumn id="10" name="Proposed motion identity"/>
    <x:tableColumn id="11" name="Source IDs"/>
    <x:tableColumn id="12" name="Primary 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ibrationTable" displayName="CalibrationTable" ref="A5:L10" headerRowCount="1" totalsRowCount="0" totalsRowShown="0">
  <x:tableColumns count="12">
    <x:tableColumn id="1" name="Taxon"/>
    <x:tableColumn id="2" name="Specimen / correspondence note"/>
    <x:tableColumn id="3" name="Reference hip height h (m)"/>
    <x:tableColumn id="4" name="Applied body mass (kg)"/>
    <x:tableColumn id="5" name="Femur joint-center length (m)"/>
    <x:tableColumn id="6" name="Tibia joint-center length (m)"/>
    <x:tableColumn id="7" name="Metatarsal joint-center length (m)"/>
    <x:tableColumn id="8" name="Summed chain (m)"/>
    <x:tableColumn id="9" name="h / summed chain"/>
    <x:tableColumn id="10" name="Manual review status"/>
    <x:tableColumn id="11" name="Source / measurement locator"/>
    <x:tableColumn id="12" name="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ittargetsTable" displayName="GaittargetsTable" ref="A5:N19" headerRowCount="1" totalsRowCount="0" totalsRowShown="0">
  <x:tableColumns count="14">
    <x:tableColumn id="1" name="Taxon"/>
    <x:tableColumn id="2" name="Requested motion"/>
    <x:tableColumn id="3" name="Staging"/>
    <x:tableColumn id="4" name="Nominal Fr"/>
    <x:tableColumn id="5" name="Fr search low"/>
    <x:tableColumn id="6" name="Fr search high"/>
    <x:tableColumn id="7" name="Nominal duty factor β"/>
    <x:tableColumn id="8" name="β search interval"/>
    <x:tableColumn id="9" name="Nominal stride / h"/>
    <x:tableColumn id="10" name="Calibrated h (m)"/>
    <x:tableColumn id="11" name="Derived speed (m/s)"/>
    <x:tableColumn id="12" name="Derived stride (m)"/>
    <x:tableColumn id="13" name="Derived stride period (s)"/>
    <x:tableColumn id="14" name="Evidence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dycontrolsTable" displayName="BodycontrolsTable" ref="A5:I10" headerRowCount="1" totalsRowCount="0" totalsRowShown="0">
  <x:tableColumns count="9">
    <x:tableColumn id="1" name="Taxon"/>
    <x:tableColumn id="2" name="Walk stance width / h"/>
    <x:tableColumn id="3" name="Walk toe clearance / h"/>
    <x:tableColumn id="4" name="Tail proposal"/>
    <x:tableColumn id="5" name="Head / neck proposal"/>
    <x:tableColumn id="6" name="Forelimb proposal"/>
    <x:tableColumn id="7" name="Foot / contact proposal"/>
    <x:tableColumn id="8" name="Do not do this"/>
    <x:tableColumn id="9" name="Source 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grationTable" displayName="IntegrationTable" ref="A5:F20" headerRowCount="1" totalsRowCount="0" totalsRowShown="0">
  <x:tableColumns count="6">
    <x:tableColumn id="1" name="Field / check"/>
    <x:tableColumn id="2" name="Value / state"/>
    <x:tableColumn id="3" name="Where it belongs"/>
    <x:tableColumn id="4" name="Required work"/>
    <x:tableColumn id="5" name="Boundary"/>
    <x:tableColumn id="6" name="Source 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Table" displayName="EvidenceTable" ref="A5:G17" headerRowCount="1" totalsRowCount="0" totalsRowShown="0">
  <x:tableColumns count="7">
    <x:tableColumn id="1" name="ID"/>
    <x:tableColumn id="2" name="Citation"/>
    <x:tableColumn id="3" name="Source class"/>
    <x:tableColumn id="4" name="Locator"/>
    <x:tableColumn id="5" name="Supports"/>
    <x:tableColumn id="6" name="Does not support"/>
    <x:tableColumn id="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0656ebcc1d4f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190c38f7da43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a4c943dbc24f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869762f5554d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1c16c6fa2d44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04543f18d94c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933c2c661c433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52" hidden="0" customWidth="1"/>
    <x:col min="4" max="4" width="53" hidden="0" customWidth="1"/>
    <x:col min="5" max="5" width="15" hidden="0" customWidth="1"/>
  </x:cols>
  <x:sheetData>
    <x:row r="1" ht="34" customHeight="1">
      <x:c r="A1" s="11" t="str">
        <x:v>EONWILD  /  LOCOMOTION RESEARCH CONFIGURATION</x:v>
      </x:c>
      <x:c r="B1" s="11"/>
      <x:c r="C1" s="11"/>
      <x:c r="D1" s="11"/>
      <x:c r="E1" s="11"/>
    </x:row>
    <x:row r="2" ht="23" customHeight="1">
      <x:c r="A2" s="15" t="str">
        <x:v>Research proposal v0.1 · 21 September 2026 · Published findings, engineering targets and unmeasured calibration fields are deliberately separate.</x:v>
      </x:c>
      <x:c r="B2" s="15"/>
      <x:c r="C2" s="15"/>
      <x:c r="D2" s="15"/>
      <x:c r="E2" s="15"/>
    </x:row>
    <x:row r="3" ht="23" customHeight="1">
      <x:c r="A3" s="15"/>
      <x:c r="B3" s="15"/>
      <x:c r="C3" s="15"/>
      <x:c r="D3" s="15"/>
      <x:c r="E3" s="15"/>
    </x:row>
    <x:row r="4">
      <x:c r="A4" s="5"/>
      <x:c r="B4" s="5"/>
      <x:c r="C4" s="5"/>
      <x:c r="D4" s="5"/>
      <x:c r="E4" s="5"/>
    </x:row>
    <x:row r="5" ht="38" customHeight="1">
      <x:c r="A5" s="19" t="str">
        <x:v>Topic</x:v>
      </x:c>
      <x:c r="B5" s="19" t="str">
        <x:v>At a glance</x:v>
      </x:c>
      <x:c r="C5" s="19" t="str">
        <x:v>Meaning</x:v>
      </x:c>
      <x:c r="D5" s="19" t="str">
        <x:v>Boundary</x:v>
      </x:c>
      <x:c r="E5" s="19" t="str">
        <x:v>Source IDs</x:v>
      </x:c>
    </x:row>
    <x:row r="6" ht="70" customHeight="1">
      <x:c r="A6" s="5" t="str">
        <x:v>Scope</x:v>
      </x:c>
      <x:c r="B6" s="22" t="str">
        <x:v>5 source GLBs</x:v>
      </x:c>
      <x:c r="C6" s="5" t="str">
        <x:v>Alioramus · Gallimimus · Dilophosaurus · Prenocephale · Deinocheirus</x:v>
      </x:c>
      <x:c r="D6" s="5" t="str">
        <x:v>The Models directory is the roster authority.</x:v>
      </x:c>
      <x:c r="E6" s="5" t="str">
        <x:v>REPO</x:v>
      </x:c>
    </x:row>
    <x:row r="7" ht="70" customHeight="1">
      <x:c r="A7" s="5" t="str">
        <x:v>Snapshot</x:v>
      </x:c>
      <x:c r="B7" s="22" t="str">
        <x:v>987bd6b</x:v>
      </x:c>
      <x:c r="C7" s="5" t="str">
        <x:v>feat/motion-quality-and-breadth</x:v>
      </x:c>
      <x:c r="D7" s="5" t="str">
        <x:v>No repository changes or model generation performed.</x:v>
      </x:c>
      <x:c r="E7" s="5" t="str">
        <x:v>REPO</x:v>
      </x:c>
    </x:row>
    <x:row r="8" ht="70" customHeight="1">
      <x:c r="A8" s="5" t="str">
        <x:v>Evidence base</x:v>
      </x:c>
      <x:c r="B8" s="22" t="str">
        <x:v>4 supplied papers</x:v>
      </x:c>
      <x:c r="C8" s="5" t="str">
        <x:v>Gait mechanisms, calibration methods, load constraints and uncertainty.</x:v>
      </x:c>
      <x:c r="D8" s="5" t="str">
        <x:v>Not direct movement measurements for these five taxa.</x:v>
      </x:c>
      <x:c r="E8" s="5" t="str">
        <x:v>R1–R4</x:v>
      </x:c>
    </x:row>
    <x:row r="9" ht="70" customHeight="1">
      <x:c r="A9" s="5" t="str">
        <x:v>Authoring inputs</x:v>
      </x:c>
      <x:c r="B9" s="22" t="str">
        <x:v>E1 = proposed</x:v>
      </x:c>
      <x:c r="C9" s="5" t="str">
        <x:v>Numeric gait targets and body controls are experimental starting points.</x:v>
      </x:c>
      <x:c r="D9" s="5" t="str">
        <x:v>Not fossil-derived values, physical limits, or accepted motion.</x:v>
      </x:c>
      <x:c r="E9" s="5" t="str">
        <x:v>E1</x:v>
      </x:c>
    </x:row>
    <x:row r="10" ht="70" customHeight="1">
      <x:c r="A10" s="5" t="str">
        <x:v>Physical calibration</x:v>
      </x:c>
      <x:c r="B10" s="22" t="str">
        <x:v>Not yet performed</x:v>
      </x:c>
      <x:c r="C10" s="5" t="str">
        <x:v>Enter a calibrated standing hip height and specimen-bound body mass in Calibration.</x:v>
      </x:c>
      <x:c r="D10" s="5" t="str">
        <x:v>Published mass anchors are not automatically applied to an artist mesh.</x:v>
      </x:c>
      <x:c r="E10" s="5" t="str">
        <x:v>R2</x:v>
      </x:c>
    </x:row>
    <x:row r="11" ht="70" customHeight="1">
      <x:c r="A11" s="5" t="str">
        <x:v>Gait semantics</x:v>
      </x:c>
      <x:c r="B11" s="22" t="str">
        <x:v>Three separate requests</x:v>
      </x:c>
      <x:c r="C11" s="5" t="str">
        <x:v>Walk, faster grounded motion, and optional aerial-running probe.</x:v>
      </x:c>
      <x:c r="D11" s="5" t="str">
        <x:v>Froude alone does not classify gait; grounded running needs dynamic evidence.</x:v>
      </x:c>
      <x:c r="E11" s="5" t="str">
        <x:v>R1; R3</x:v>
      </x:c>
    </x:row>
    <x:row r="12" ht="70" customHeight="1">
      <x:c r="A12" s="5" t="str">
        <x:v>Critical family split</x:v>
      </x:c>
      <x:c r="B12" s="22" t="str">
        <x:v>Gallimimus ≠ Deinocheirus</x:v>
      </x:c>
      <x:c r="C12" s="5" t="str">
        <x:v>Do not use one ornithomimosaur gait profile at different scale.</x:v>
      </x:c>
      <x:c r="D12" s="5" t="str">
        <x:v>Their published anatomical contrast motivates separate engineering families.</x:v>
      </x:c>
      <x:c r="E12" s="5" t="str">
        <x:v>S2; S5</x:v>
      </x:c>
    </x:row>
    <x:row r="13" ht="70" customHeight="1">
      <x:c r="A13" s="5" t="str">
        <x:v>Initial movement set</x:v>
      </x:c>
      <x:c r="B13" s="22" t="str">
        <x:v>Walk first</x:v>
      </x:c>
      <x:c r="C13" s="5" t="str">
        <x:v>Stance → walk → controlled stop/restart → turn; later, faster motions.</x:v>
      </x:c>
      <x:c r="D13" s="5" t="str">
        <x:v>Jumping is disabled pending take-off and landing investigation.</x:v>
      </x:c>
      <x:c r="E13" s="5" t="str">
        <x:v>E1</x:v>
      </x:c>
    </x:row>
    <x:row r="14" ht="70" customHeight="1">
      <x:c r="A14" s="5" t="str">
        <x:v>Evidence vs game choice</x:v>
      </x:c>
      <x:c r="B14" s="22" t="str">
        <x:v>Keep both visible</x:v>
      </x:c>
      <x:c r="C14" s="5" t="str">
        <x:v>Models = source facts + proposal. Gait targets and Body controls = proposal.</x:v>
      </x:c>
      <x:c r="D14" s="5" t="str">
        <x:v>Anatomical limits, actuator strengths and mass distributions remain unfilled.</x:v>
      </x:c>
      <x:c r="E14" s="5" t="str">
        <x:v>R2; E1</x:v>
      </x:c>
    </x:row>
    <x:row r="15" ht="70" customHeight="1">
      <x:c r="A15" s="5" t="str">
        <x:v>How to use</x:v>
      </x:c>
      <x:c r="B15" s="22" t="str">
        <x:v>Read in this order</x:v>
      </x:c>
      <x:c r="C15" s="5" t="str">
        <x:v>Models → Gait targets → Body controls → Calibration → Integration → Evidence.</x:v>
      </x:c>
      <x:c r="D15" s="5" t="str">
        <x:v>The companion JSON uses a research schema; it is not accepted by the factory loader.</x:v>
      </x:c>
      <x:c r="E15" s="5" t="str">
        <x:v>E1; REPO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ed0656ebcc1d4f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7" hidden="0" customWidth="1"/>
    <x:col min="3" max="3" width="44" hidden="0" customWidth="1"/>
    <x:col min="4" max="4" width="38" hidden="0" customWidth="1"/>
    <x:col min="5" max="5" width="38" hidden="0" customWidth="1"/>
    <x:col min="6" max="6" width="58" hidden="0" customWidth="1"/>
    <x:col min="7" max="7" width="43" hidden="0" customWidth="1"/>
    <x:col min="8" max="8" width="21" hidden="0" customWidth="1"/>
    <x:col min="9" max="9" width="49" hidden="0" customWidth="1"/>
    <x:col min="10" max="10" width="60" hidden="0" customWidth="1"/>
    <x:col min="11" max="11" width="22" hidden="0" customWidth="1"/>
    <x:col min="12" max="12" width="46" hidden="0" customWidth="1"/>
  </x:cols>
  <x:sheetData>
    <x:row r="1" ht="34" customHeight="1">
      <x:c r="A1" s="11" t="str">
        <x:v>FIVE MODELS  /  EVIDENCE &amp; AUTHORING IDENTITY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3" customHeight="1">
      <x:c r="A2" s="15" t="str">
        <x:v>Inventory verified at the pinned branch. Life stages and families are proposed authoring targets; exact GLB anatomy, units, skeletons and mass properties were not measured in this pass.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3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8" customHeight="1">
      <x:c r="A5" s="19" t="str">
        <x:v>Taxon</x:v>
      </x:c>
      <x:c r="B5" s="19" t="str">
        <x:v>Exact source file</x:v>
      </x:c>
      <x:c r="C5" s="19" t="str">
        <x:v>Git blob SHA-1</x:v>
      </x:c>
      <x:c r="D5" s="19" t="str">
        <x:v>Proposed life stage</x:v>
      </x:c>
      <x:c r="E5" s="19" t="str">
        <x:v>Proposed engineering family</x:v>
      </x:c>
      <x:c r="F5" s="19" t="str">
        <x:v>Anatomical evidence / interpretation</x:v>
      </x:c>
      <x:c r="G5" s="19" t="str">
        <x:v>Comparator specimen</x:v>
      </x:c>
      <x:c r="H5" s="19" t="str">
        <x:v>Literature mass anchor (kg)</x:v>
      </x:c>
      <x:c r="I5" s="19" t="str">
        <x:v>Anchor boundary</x:v>
      </x:c>
      <x:c r="J5" s="19" t="str">
        <x:v>Proposed motion identity</x:v>
      </x:c>
      <x:c r="K5" s="19" t="str">
        <x:v>Source IDs</x:v>
      </x:c>
      <x:c r="L5" s="19" t="str">
        <x:v>Primary source URL</x:v>
      </x:c>
    </x:row>
    <x:row r="6" ht="110" customHeight="1">
      <x:c r="A6" s="5" t="str">
        <x:v>Alioramus altai</x:v>
      </x:c>
      <x:c r="B6" s="5" t="str">
        <x:v>Alioramus-altai.glb</x:v>
      </x:c>
      <x:c r="C6" s="26" t="str">
        <x:v>58bb677040ef9d28ce06494c5adf23ab3a80c21d</x:v>
      </x:c>
      <x:c r="D6" s="5" t="str">
        <x:v>Known immature reference; not hypothetical adult</x:v>
      </x:c>
      <x:c r="E6" s="5" t="str">
        <x:v>gracile_tyrannosauroid_biped</x:v>
      </x:c>
      <x:c r="F6" s="5" t="str">
        <x:v>Gracile, long-snouted immature tyrannosaurid; do not substitute an adult heavy-tyrannosaur body.</x:v>
      </x:c>
      <x:c r="G6" s="5" t="str">
        <x:v>MPC-D 100/1844 (proposed reference; mesh correspondence unverified)</x:v>
      </x:c>
      <x:c r="H6" s="24" t="n">
        <x:v>369</x:v>
      </x:c>
      <x:c r="I6" s="5" t="str">
        <x:v>S1 reports Brusatte et al. 2009 estimate; juvenile holotype only</x:v>
      </x:c>
      <x:c r="J6" s="5" t="str">
        <x:v>Lightly committed walking, controlled acceleration and deceleration; aerial run is an experiment, not an established capability.</x:v>
      </x:c>
      <x:c r="K6" s="5" t="str">
        <x:v>S1; R1; R2; E1</x:v>
      </x:c>
      <x:c r="L6" s="5" t="str">
        <x:v>https://doi.org/10.18261/let.57.2.6</x:v>
      </x:c>
    </x:row>
    <x:row r="7" ht="110" customHeight="1">
      <x:c r="A7" s="5" t="str">
        <x:v>Gallimimus bullatus</x:v>
      </x:c>
      <x:c r="B7" s="5" t="str">
        <x:v>Gallimimus-bullatus.glb</x:v>
      </x:c>
      <x:c r="C7" s="26" t="str">
        <x:v>60788fb84e0ab13874a86887719fc5340699cb02</x:v>
      </x:c>
      <x:c r="D7" s="5" t="str">
        <x:v>Adult authoring target; specimen match pending</x:v>
      </x:c>
      <x:c r="E7" s="5" t="str">
        <x:v>cursorial_ornithomimid_biped</x:v>
      </x:c>
      <x:c r="F7" s="5" t="str">
        <x:v>Long distal hindlimbs, light head/long neck and ornithomimid foot; do not add a supporting hallux.</x:v>
      </x:c>
      <x:c r="G7" s="5" t="str">
        <x:v>Select specimen</x:v>
      </x:c>
      <x:c r="H7" s="24"/>
      <x:c r="I7" s="5" t="str">
        <x:v>No specimen-bound numerical mass admitted in this pass</x:v>
      </x:c>
      <x:c r="J7" s="5" t="str">
        <x:v>Largest initial relative-speed exploration of these proposals, with distinct grounded and aerial candidates; no claimed top speed.</x:v>
      </x:c>
      <x:c r="K7" s="5" t="str">
        <x:v>S2; R1; R2; E1</x:v>
      </x:c>
      <x:c r="L7" s="5" t="str">
        <x:v>https://doi.org/10.1525/california/9780520242098.003.0008</x:v>
      </x:c>
    </x:row>
    <x:row r="8" ht="110" customHeight="1">
      <x:c r="A8" s="5" t="str">
        <x:v>Dilophosaurus wetherilli</x:v>
      </x:c>
      <x:c r="B8" s="5" t="str">
        <x:v>Dilophosaurus-wetherilli.glb</x:v>
      </x:c>
      <x:c r="C8" s="26" t="str">
        <x:v>956e31fd2a926210c89b13eb7eed15ae6950d214</x:v>
      </x:c>
      <x:c r="D8" s="5" t="str">
        <x:v>Adult authoring target; specimen match pending</x:v>
      </x:c>
      <x:c r="E8" s="5" t="str">
        <x:v>medium_early_theropod_biped</x:v>
      </x:c>
      <x:c r="F8" s="5" t="str">
        <x:v>Large-bodied early theropod with differentiated axial anatomy; not simply a larger Coelophysis.</x:v>
      </x:c>
      <x:c r="G8" s="5" t="str">
        <x:v>Select specimen</x:v>
      </x:c>
      <x:c r="H8" s="24"/>
      <x:c r="I8" s="5" t="str">
        <x:v>No specimen-bound numerical mass admitted in this pass</x:v>
      </x:c>
      <x:c r="J8" s="5" t="str">
        <x:v>Deliberate walking with longer body coordination; progressive fast-grounded and aerial probes after the stance is convincing.</x:v>
      </x:c>
      <x:c r="K8" s="5" t="str">
        <x:v>S3; R1; R2; E1</x:v>
      </x:c>
      <x:c r="L8" s="5" t="str">
        <x:v>https://www.jsg.utexas.edu/txvp/dilophosaurus/</x:v>
      </x:c>
    </x:row>
    <x:row r="9" ht="110" customHeight="1">
      <x:c r="A9" s="5" t="str">
        <x:v>Prenocephale prenes</x:v>
      </x:c>
      <x:c r="B9" s="5" t="str">
        <x:v>Prenocephale-prenes.glb</x:v>
      </x:c>
      <x:c r="C9" s="26" t="str">
        <x:v>c2c36929880b63430b3b4f802134c12655a0a779</x:v>
      </x:c>
      <x:c r="D9" s="5" t="str">
        <x:v>Adult authoring target; specimen match pending</x:v>
      </x:c>
      <x:c r="E9" s="5" t="str">
        <x:v>compact_ornithischian_biped</x:v>
      </x:c>
      <x:c r="F9" s="5" t="str">
        <x:v>Pachycephalosaurian ornithischian; source supplies partial postcranial evidence, not a dynamic gait calibration.</x:v>
      </x:c>
      <x:c r="G9" s="5" t="str">
        <x:v>Z. Pal. MgD-I/104 (candidate comparator; partial postcranium)</x:v>
      </x:c>
      <x:c r="H9" s="24"/>
      <x:c r="I9" s="5" t="str">
        <x:v>No specimen-bound numerical mass admitted in this pass</x:v>
      </x:c>
      <x:c r="J9" s="5" t="str">
        <x:v>Compact planted walk and reorientation; fast-grounded and aerial probes are low-confidence authoring hypotheses.</x:v>
      </x:c>
      <x:c r="K9" s="5" t="str">
        <x:v>S4; R1; R2; R4; E1</x:v>
      </x:c>
      <x:c r="L9" s="5" t="str">
        <x:v>https://www.researchgate.net/publication/240625747_A_taxonomic_review_of_the_Pachycephalosauridae_Dinosauria_Ornithischia</x:v>
      </x:c>
    </x:row>
    <x:row r="10" ht="110" customHeight="1">
      <x:c r="A10" s="5" t="str">
        <x:v>Deinocheirus mirificus</x:v>
      </x:c>
      <x:c r="B10" s="5" t="str">
        <x:v>Deinocheirus-mirificus.glb</x:v>
      </x:c>
      <x:c r="C10" s="26" t="str">
        <x:v>3fa7b26c570af577f2830bf0b63ea9510a10c0a8</x:v>
      </x:c>
      <x:c r="D10" s="5" t="str">
        <x:v>Large adult authoring target; specimen match pending</x:v>
      </x:c>
      <x:c r="E10" s="5" t="str">
        <x:v>giant_ornithomimosaur_biped</x:v>
      </x:c>
      <x:c r="F10" s="5" t="str">
        <x:v>Heavily built, non-cursorial ornithomimosaur; relatively short hindlimbs and broad-tipped pedal unguals.</x:v>
      </x:c>
      <x:c r="G10" s="5" t="str">
        <x:v>MPC-D 100/127 (proposed comparator; mesh correspondence unverified)</x:v>
      </x:c>
      <x:c r="H10" s="24"/>
      <x:c r="I10" s="5" t="str">
        <x:v>Mass intentionally not guessed from GLB size or copied from T. rex</x:v>
      </x:c>
      <x:c r="J10" s="5" t="str">
        <x:v>High-duty planted walking and a faster grounded candidate. Aerial running and jumping disabled in the initial authoring set.</x:v>
      </x:c>
      <x:c r="K10" s="5" t="str">
        <x:v>S5; R1; R2; R3; E1</x:v>
      </x:c>
      <x:c r="L10" s="5" t="str">
        <x:v>https://doi.org/10.1038/nature13874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52190c38f7da43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1" hidden="0" customWidth="1"/>
    <x:col min="9" max="9" width="21" hidden="0" customWidth="1"/>
    <x:col min="10" max="10" width="23" hidden="0" customWidth="1"/>
    <x:col min="11" max="11" width="50" hidden="0" customWidth="1"/>
    <x:col min="12" max="12" width="60" hidden="0" customWidth="1"/>
  </x:cols>
  <x:sheetData>
    <x:row r="1" ht="34" customHeight="1">
      <x:c r="A1" s="11" t="str">
        <x:v>CALIBRATION  /  REAL INPUTS BEFORE ABSOLUTE SPEED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3" customHeight="1">
      <x:c r="A2" s="15" t="str">
        <x:v>Blue cells are blank inputs, not zeroes. Hip height = calibrated hip-joint center above the support plane in a standardized standing pose. Keep this fixed for comparisons; do not force h = 0.8 × hindlimb length.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3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8" customHeight="1">
      <x:c r="A5" s="19" t="str">
        <x:v>Taxon</x:v>
      </x:c>
      <x:c r="B5" s="19" t="str">
        <x:v>Specimen / correspondence note</x:v>
      </x:c>
      <x:c r="C5" s="19" t="str">
        <x:v>Reference hip height h (m)</x:v>
      </x:c>
      <x:c r="D5" s="19" t="str">
        <x:v>Applied body mass (kg)</x:v>
      </x:c>
      <x:c r="E5" s="19" t="str">
        <x:v>Femur joint-center length (m)</x:v>
      </x:c>
      <x:c r="F5" s="19" t="str">
        <x:v>Tibia joint-center length (m)</x:v>
      </x:c>
      <x:c r="G5" s="19" t="str">
        <x:v>Metatarsal joint-center length (m)</x:v>
      </x:c>
      <x:c r="H5" s="19" t="str">
        <x:v>Summed chain (m)</x:v>
      </x:c>
      <x:c r="I5" s="19" t="str">
        <x:v>h / summed chain</x:v>
      </x:c>
      <x:c r="J5" s="19" t="str">
        <x:v>Manual review status</x:v>
      </x:c>
      <x:c r="K5" s="19" t="str">
        <x:v>Source / measurement locator</x:v>
      </x:c>
      <x:c r="L5" s="19" t="str">
        <x:v>Boundary</x:v>
      </x:c>
    </x:row>
    <x:row r="6" ht="92" customHeight="1">
      <x:c r="A6" s="5" t="str">
        <x:v>Alioramus altai</x:v>
      </x:c>
      <x:c r="B6" s="30" t="str">
        <x:v>MPC-D 100/1844 (proposed reference; mesh correspondence unverified)</x:v>
      </x:c>
      <x:c r="C6" s="32"/>
      <x:c r="D6" s="36"/>
      <x:c r="E6" s="32"/>
      <x:c r="F6" s="32"/>
      <x:c r="G6" s="32"/>
      <x:c r="H6" s="33" t="str">
        <x:f>IF(AND(ISNUMBER(E6),E6&gt;0,ISNUMBER(F6),F6&gt;0,ISNUMBER(G6),G6&gt;0),SUM(E6:G6),"")</x:f>
      </x:c>
      <x:c r="I6" s="33" t="str">
        <x:f>IF(AND(ISNUMBER(C6),C6&gt;0,ISNUMBER(H6),H6&gt;0),C6/H6,"")</x:f>
      </x:c>
      <x:c r="J6" s="5" t="str">
        <x:v>UNREVIEWED</x:v>
      </x:c>
      <x:c r="K6" s="30"/>
      <x:c r="L6" s="5" t="str">
        <x:v>Source correspondence, anatomical pivots, scale and support plane must be checked.</x:v>
      </x:c>
    </x:row>
    <x:row r="7" ht="92" customHeight="1">
      <x:c r="A7" s="5" t="str">
        <x:v>Gallimimus bullatus</x:v>
      </x:c>
      <x:c r="B7" s="30"/>
      <x:c r="C7" s="32"/>
      <x:c r="D7" s="36"/>
      <x:c r="E7" s="32"/>
      <x:c r="F7" s="32"/>
      <x:c r="G7" s="32"/>
      <x:c r="H7" s="33" t="str">
        <x:f>IF(AND(ISNUMBER(E7),E7&gt;0,ISNUMBER(F7),F7&gt;0,ISNUMBER(G7),G7&gt;0),SUM(E7:G7),"")</x:f>
      </x:c>
      <x:c r="I7" s="33" t="str">
        <x:f>IF(AND(ISNUMBER(C7),C7&gt;0,ISNUMBER(H7),H7&gt;0),C7/H7,"")</x:f>
      </x:c>
      <x:c r="J7" s="5" t="str">
        <x:v>UNREVIEWED</x:v>
      </x:c>
      <x:c r="K7" s="30"/>
      <x:c r="L7" s="5" t="str">
        <x:v>Source correspondence, anatomical pivots, scale and support plane must be checked.</x:v>
      </x:c>
    </x:row>
    <x:row r="8" ht="92" customHeight="1">
      <x:c r="A8" s="5" t="str">
        <x:v>Dilophosaurus wetherilli</x:v>
      </x:c>
      <x:c r="B8" s="30"/>
      <x:c r="C8" s="32"/>
      <x:c r="D8" s="36"/>
      <x:c r="E8" s="32"/>
      <x:c r="F8" s="32"/>
      <x:c r="G8" s="32"/>
      <x:c r="H8" s="33" t="str">
        <x:f>IF(AND(ISNUMBER(E8),E8&gt;0,ISNUMBER(F8),F8&gt;0,ISNUMBER(G8),G8&gt;0),SUM(E8:G8),"")</x:f>
      </x:c>
      <x:c r="I8" s="33" t="str">
        <x:f>IF(AND(ISNUMBER(C8),C8&gt;0,ISNUMBER(H8),H8&gt;0),C8/H8,"")</x:f>
      </x:c>
      <x:c r="J8" s="5" t="str">
        <x:v>UNREVIEWED</x:v>
      </x:c>
      <x:c r="K8" s="30"/>
      <x:c r="L8" s="5" t="str">
        <x:v>Source correspondence, anatomical pivots, scale and support plane must be checked.</x:v>
      </x:c>
    </x:row>
    <x:row r="9" ht="92" customHeight="1">
      <x:c r="A9" s="5" t="str">
        <x:v>Prenocephale prenes</x:v>
      </x:c>
      <x:c r="B9" s="30" t="str">
        <x:v>Z. Pal. MgD-I/104 (candidate comparator; partial postcranium)</x:v>
      </x:c>
      <x:c r="C9" s="32"/>
      <x:c r="D9" s="36"/>
      <x:c r="E9" s="32"/>
      <x:c r="F9" s="32"/>
      <x:c r="G9" s="32"/>
      <x:c r="H9" s="33" t="str">
        <x:f>IF(AND(ISNUMBER(E9),E9&gt;0,ISNUMBER(F9),F9&gt;0,ISNUMBER(G9),G9&gt;0),SUM(E9:G9),"")</x:f>
      </x:c>
      <x:c r="I9" s="33" t="str">
        <x:f>IF(AND(ISNUMBER(C9),C9&gt;0,ISNUMBER(H9),H9&gt;0),C9/H9,"")</x:f>
      </x:c>
      <x:c r="J9" s="5" t="str">
        <x:v>UNREVIEWED</x:v>
      </x:c>
      <x:c r="K9" s="30"/>
      <x:c r="L9" s="5" t="str">
        <x:v>Source correspondence, anatomical pivots, scale and support plane must be checked.</x:v>
      </x:c>
    </x:row>
    <x:row r="10" ht="92" customHeight="1">
      <x:c r="A10" s="5" t="str">
        <x:v>Deinocheirus mirificus</x:v>
      </x:c>
      <x:c r="B10" s="30" t="str">
        <x:v>MPC-D 100/127 (proposed comparator; mesh correspondence unverified)</x:v>
      </x:c>
      <x:c r="C10" s="32"/>
      <x:c r="D10" s="36"/>
      <x:c r="E10" s="32"/>
      <x:c r="F10" s="32"/>
      <x:c r="G10" s="32"/>
      <x:c r="H10" s="33" t="str">
        <x:f>IF(AND(ISNUMBER(E10),E10&gt;0,ISNUMBER(F10),F10&gt;0,ISNUMBER(G10),G10&gt;0),SUM(E10:G10),"")</x:f>
      </x:c>
      <x:c r="I10" s="33" t="str">
        <x:f>IF(AND(ISNUMBER(C10),C10&gt;0,ISNUMBER(H10),H10&gt;0),C10/H10,"")</x:f>
      </x:c>
      <x:c r="J10" s="5" t="str">
        <x:v>UNREVIEWED</x:v>
      </x:c>
      <x:c r="K10" s="30"/>
      <x:c r="L10" s="5" t="str">
        <x:v>Source correspondence, anatomical pivots, scale and support plane must be checked.</x:v>
      </x:c>
    </x:row>
  </x:sheetData>
  <x:mergeCells>
    <x:mergeCell ref="A1:L1"/>
    <x:mergeCell ref="A2:L3"/>
  </x:mergeCells>
  <x:dataValidations count="1">
    <x:dataValidation type="list" sqref="J6:J10">
      <x:formula1>"UNREVIEWED,UNDER REVIEW,REVIEWED — SEE RECEIPT"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a4c943dbc24f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8" hidden="0" customWidth="1"/>
    <x:col min="4" max="4" width="17" hidden="0" customWidth="1"/>
    <x:col min="5" max="5" width="17" hidden="0" customWidth="1"/>
    <x:col min="6" max="6" width="18" hidden="0" customWidth="1"/>
    <x:col min="7" max="7" width="20" hidden="0" customWidth="1"/>
    <x:col min="8" max="8" width="22" hidden="0" customWidth="1"/>
    <x:col min="9" max="9" width="22" hidden="0" customWidth="1"/>
    <x:col min="10" max="10" width="20" hidden="0" customWidth="1"/>
    <x:col min="11" max="11" width="23" hidden="0" customWidth="1"/>
    <x:col min="12" max="12" width="22" hidden="0" customWidth="1"/>
    <x:col min="13" max="13" width="25" hidden="0" customWidth="1"/>
    <x:col min="14" max="14" width="52" hidden="0" customWidth="1"/>
  </x:cols>
  <x:sheetData>
    <x:row r="1" ht="34" customHeight="1">
      <x:c r="A1" s="11" t="str">
        <x:v>GAIT TARGETS  /  NORMALIZED EXPERIMENTS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 ht="23" customHeight="1">
      <x:c r="A2" s="15" t="str">
        <x:v>Amber numeric inputs are engineering hypotheses, not inferred dinosaur performance. Search dimensions are coupled, not a guarantee that every combination is feasible. No aerial-running proposal is included for Deinocheirus.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 ht="23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38" customHeight="1">
      <x:c r="A5" s="19" t="str">
        <x:v>Taxon</x:v>
      </x:c>
      <x:c r="B5" s="19" t="str">
        <x:v>Requested motion</x:v>
      </x:c>
      <x:c r="C5" s="19" t="str">
        <x:v>Staging</x:v>
      </x:c>
      <x:c r="D5" s="19" t="str">
        <x:v>Nominal Fr</x:v>
      </x:c>
      <x:c r="E5" s="19" t="str">
        <x:v>Fr search low</x:v>
      </x:c>
      <x:c r="F5" s="19" t="str">
        <x:v>Fr search high</x:v>
      </x:c>
      <x:c r="G5" s="19" t="str">
        <x:v>Nominal duty factor β</x:v>
      </x:c>
      <x:c r="H5" s="19" t="str">
        <x:v>β search interval</x:v>
      </x:c>
      <x:c r="I5" s="19" t="str">
        <x:v>Nominal stride / h</x:v>
      </x:c>
      <x:c r="J5" s="19" t="str">
        <x:v>Calibrated h (m)</x:v>
      </x:c>
      <x:c r="K5" s="19" t="str">
        <x:v>Derived speed (m/s)</x:v>
      </x:c>
      <x:c r="L5" s="19" t="str">
        <x:v>Derived stride (m)</x:v>
      </x:c>
      <x:c r="M5" s="19" t="str">
        <x:v>Derived stride period (s)</x:v>
      </x:c>
      <x:c r="N5" s="19" t="str">
        <x:v>Evidence boundary</x:v>
      </x:c>
    </x:row>
    <x:row r="6" ht="52" customHeight="1">
      <x:c r="A6" s="5" t="str">
        <x:v>Alioramus altai</x:v>
      </x:c>
      <x:c r="B6" s="5" t="str">
        <x:v>walk</x:v>
      </x:c>
      <x:c r="C6" s="5" t="str">
        <x:v>First candidate</x:v>
      </x:c>
      <x:c r="D6" s="40" t="n">
        <x:v>0.15</x:v>
      </x:c>
      <x:c r="E6" s="40" t="n">
        <x:v>0.08</x:v>
      </x:c>
      <x:c r="F6" s="40" t="n">
        <x:v>0.25</x:v>
      </x:c>
      <x:c r="G6" s="40" t="n">
        <x:v>0.66</x:v>
      </x:c>
      <x:c r="H6" s="38" t="str">
        <x:v>0.60–0.72</x:v>
      </x:c>
      <x:c r="I6" s="42" t="n">
        <x:v>1.2</x:v>
      </x:c>
      <x:c r="J6" s="33" t="str">
        <x:f>IF(AND(ISNUMBER('Calibration'!C6),'Calibration'!C6&gt;0),'Calibration'!C6,"")</x:f>
      </x:c>
      <x:c r="K6" s="33" t="str">
        <x:f>IF(AND(ISNUMBER(J6),J6&gt;0),SQRT(D6*'Integration'!$B$6*J6),"")</x:f>
      </x:c>
      <x:c r="L6" s="33" t="str">
        <x:f>IF(AND(ISNUMBER(J6),J6&gt;0),I6*J6,"")</x:f>
      </x:c>
      <x:c r="M6" s="33" t="str">
        <x:f>IF(AND(ISNUMBER(K6),K6&gt;0),L6/K6,"")</x:f>
      </x:c>
      <x:c r="N6" s="5" t="str">
        <x:v>E1 (proposal); R1/R3/R5 (definitions only)</x:v>
      </x:c>
    </x:row>
    <x:row r="7" ht="52" customHeight="1">
      <x:c r="A7" s="5" t="str">
        <x:v>Alioramus altai</x:v>
      </x:c>
      <x:c r="B7" s="5" t="str">
        <x:v>fast_grounded</x:v>
      </x:c>
      <x:c r="C7" s="5" t="str">
        <x:v>After walk acceptance</x:v>
      </x:c>
      <x:c r="D7" s="40" t="n">
        <x:v>0.55</x:v>
      </x:c>
      <x:c r="E7" s="40" t="n">
        <x:v>0.35</x:v>
      </x:c>
      <x:c r="F7" s="40" t="n">
        <x:v>0.8</x:v>
      </x:c>
      <x:c r="G7" s="40" t="n">
        <x:v>0.57</x:v>
      </x:c>
      <x:c r="H7" s="38" t="str">
        <x:v>0.52–0.62</x:v>
      </x:c>
      <x:c r="I7" s="42" t="n">
        <x:v>1.7</x:v>
      </x:c>
      <x:c r="J7" s="33" t="str">
        <x:f>IF(AND(ISNUMBER('Calibration'!C6),'Calibration'!C6&gt;0),'Calibration'!C6,"")</x:f>
      </x:c>
      <x:c r="K7" s="33" t="str">
        <x:f>IF(AND(ISNUMBER(J7),J7&gt;0),SQRT(D7*'Integration'!$B$6*J7),"")</x:f>
      </x:c>
      <x:c r="L7" s="33" t="str">
        <x:f>IF(AND(ISNUMBER(J7),J7&gt;0),I7*J7,"")</x:f>
      </x:c>
      <x:c r="M7" s="33" t="str">
        <x:f>IF(AND(ISNUMBER(K7),K7&gt;0),L7/K7,"")</x:f>
      </x:c>
      <x:c r="N7" s="5" t="str">
        <x:v>E1 (proposal); R1/R3/R5 (definitions only)</x:v>
      </x:c>
    </x:row>
    <x:row r="8" ht="52" customHeight="1">
      <x:c r="A8" s="5" t="str">
        <x:v>Alioramus altai</x:v>
      </x:c>
      <x:c r="B8" s="5" t="str">
        <x:v>aerial_run_probe</x:v>
      </x:c>
      <x:c r="C8" s="5" t="str">
        <x:v>GATED RESEARCH ONLY</x:v>
      </x:c>
      <x:c r="D8" s="40" t="n">
        <x:v>1.2</x:v>
      </x:c>
      <x:c r="E8" s="40" t="n">
        <x:v>0.8</x:v>
      </x:c>
      <x:c r="F8" s="40" t="n">
        <x:v>1.6</x:v>
      </x:c>
      <x:c r="G8" s="40" t="n">
        <x:v>0.44</x:v>
      </x:c>
      <x:c r="H8" s="38" t="str">
        <x:v>0.40–0.48</x:v>
      </x:c>
      <x:c r="I8" s="42" t="n">
        <x:v>2.5</x:v>
      </x:c>
      <x:c r="J8" s="33" t="str">
        <x:f>IF(AND(ISNUMBER('Calibration'!C6),'Calibration'!C6&gt;0),'Calibration'!C6,"")</x:f>
      </x:c>
      <x:c r="K8" s="33" t="str">
        <x:f>IF(AND(ISNUMBER(J8),J8&gt;0),SQRT(D8*'Integration'!$B$6*J8),"")</x:f>
      </x:c>
      <x:c r="L8" s="33" t="str">
        <x:f>IF(AND(ISNUMBER(J8),J8&gt;0),I8*J8,"")</x:f>
      </x:c>
      <x:c r="M8" s="33" t="str">
        <x:f>IF(AND(ISNUMBER(K8),K8&gt;0),L8/K8,"")</x:f>
      </x:c>
      <x:c r="N8" s="5" t="str">
        <x:v>E1 (proposal); R1/R3/R5 (definitions only)</x:v>
      </x:c>
    </x:row>
    <x:row r="9" ht="52" customHeight="1">
      <x:c r="A9" s="5" t="str">
        <x:v>Gallimimus bullatus</x:v>
      </x:c>
      <x:c r="B9" s="5" t="str">
        <x:v>walk</x:v>
      </x:c>
      <x:c r="C9" s="5" t="str">
        <x:v>First candidate</x:v>
      </x:c>
      <x:c r="D9" s="40" t="n">
        <x:v>0.2</x:v>
      </x:c>
      <x:c r="E9" s="40" t="n">
        <x:v>0.1</x:v>
      </x:c>
      <x:c r="F9" s="40" t="n">
        <x:v>0.3</x:v>
      </x:c>
      <x:c r="G9" s="40" t="n">
        <x:v>0.63</x:v>
      </x:c>
      <x:c r="H9" s="38" t="str">
        <x:v>0.58–0.69</x:v>
      </x:c>
      <x:c r="I9" s="42" t="n">
        <x:v>1.4</x:v>
      </x:c>
      <x:c r="J9" s="33" t="str">
        <x:f>IF(AND(ISNUMBER('Calibration'!C7),'Calibration'!C7&gt;0),'Calibration'!C7,"")</x:f>
      </x:c>
      <x:c r="K9" s="33" t="str">
        <x:f>IF(AND(ISNUMBER(J9),J9&gt;0),SQRT(D9*'Integration'!$B$6*J9),"")</x:f>
      </x:c>
      <x:c r="L9" s="33" t="str">
        <x:f>IF(AND(ISNUMBER(J9),J9&gt;0),I9*J9,"")</x:f>
      </x:c>
      <x:c r="M9" s="33" t="str">
        <x:f>IF(AND(ISNUMBER(K9),K9&gt;0),L9/K9,"")</x:f>
      </x:c>
      <x:c r="N9" s="5" t="str">
        <x:v>E1 (proposal); R1/R3/R5 (definitions only)</x:v>
      </x:c>
    </x:row>
    <x:row r="10" ht="52" customHeight="1">
      <x:c r="A10" s="5" t="str">
        <x:v>Gallimimus bullatus</x:v>
      </x:c>
      <x:c r="B10" s="5" t="str">
        <x:v>fast_grounded</x:v>
      </x:c>
      <x:c r="C10" s="5" t="str">
        <x:v>After walk acceptance</x:v>
      </x:c>
      <x:c r="D10" s="40" t="n">
        <x:v>0.6</x:v>
      </x:c>
      <x:c r="E10" s="40" t="n">
        <x:v>0.4</x:v>
      </x:c>
      <x:c r="F10" s="40" t="n">
        <x:v>0.9</x:v>
      </x:c>
      <x:c r="G10" s="40" t="n">
        <x:v>0.55</x:v>
      </x:c>
      <x:c r="H10" s="38" t="str">
        <x:v>0.51–0.60</x:v>
      </x:c>
      <x:c r="I10" s="42" t="n">
        <x:v>1.9</x:v>
      </x:c>
      <x:c r="J10" s="33" t="str">
        <x:f>IF(AND(ISNUMBER('Calibration'!C7),'Calibration'!C7&gt;0),'Calibration'!C7,"")</x:f>
      </x:c>
      <x:c r="K10" s="33" t="str">
        <x:f>IF(AND(ISNUMBER(J10),J10&gt;0),SQRT(D10*'Integration'!$B$6*J10),"")</x:f>
      </x:c>
      <x:c r="L10" s="33" t="str">
        <x:f>IF(AND(ISNUMBER(J10),J10&gt;0),I10*J10,"")</x:f>
      </x:c>
      <x:c r="M10" s="33" t="str">
        <x:f>IF(AND(ISNUMBER(K10),K10&gt;0),L10/K10,"")</x:f>
      </x:c>
      <x:c r="N10" s="5" t="str">
        <x:v>E1 (proposal); R1/R3/R5 (definitions only)</x:v>
      </x:c>
    </x:row>
    <x:row r="11" ht="52" customHeight="1">
      <x:c r="A11" s="5" t="str">
        <x:v>Gallimimus bullatus</x:v>
      </x:c>
      <x:c r="B11" s="5" t="str">
        <x:v>aerial_run_probe</x:v>
      </x:c>
      <x:c r="C11" s="5" t="str">
        <x:v>GATED RESEARCH ONLY</x:v>
      </x:c>
      <x:c r="D11" s="40" t="n">
        <x:v>1.5</x:v>
      </x:c>
      <x:c r="E11" s="40" t="n">
        <x:v>1</x:v>
      </x:c>
      <x:c r="F11" s="40" t="n">
        <x:v>2</x:v>
      </x:c>
      <x:c r="G11" s="40" t="n">
        <x:v>0.42</x:v>
      </x:c>
      <x:c r="H11" s="38" t="str">
        <x:v>0.38–0.47</x:v>
      </x:c>
      <x:c r="I11" s="42" t="n">
        <x:v>2.8</x:v>
      </x:c>
      <x:c r="J11" s="33" t="str">
        <x:f>IF(AND(ISNUMBER('Calibration'!C7),'Calibration'!C7&gt;0),'Calibration'!C7,"")</x:f>
      </x:c>
      <x:c r="K11" s="33" t="str">
        <x:f>IF(AND(ISNUMBER(J11),J11&gt;0),SQRT(D11*'Integration'!$B$6*J11),"")</x:f>
      </x:c>
      <x:c r="L11" s="33" t="str">
        <x:f>IF(AND(ISNUMBER(J11),J11&gt;0),I11*J11,"")</x:f>
      </x:c>
      <x:c r="M11" s="33" t="str">
        <x:f>IF(AND(ISNUMBER(K11),K11&gt;0),L11/K11,"")</x:f>
      </x:c>
      <x:c r="N11" s="5" t="str">
        <x:v>E1 (proposal); R1/R3/R5 (definitions only)</x:v>
      </x:c>
    </x:row>
    <x:row r="12" ht="52" customHeight="1">
      <x:c r="A12" s="5" t="str">
        <x:v>Dilophosaurus wetherilli</x:v>
      </x:c>
      <x:c r="B12" s="5" t="str">
        <x:v>walk</x:v>
      </x:c>
      <x:c r="C12" s="5" t="str">
        <x:v>First candidate</x:v>
      </x:c>
      <x:c r="D12" s="40" t="n">
        <x:v>0.15</x:v>
      </x:c>
      <x:c r="E12" s="40" t="n">
        <x:v>0.08</x:v>
      </x:c>
      <x:c r="F12" s="40" t="n">
        <x:v>0.24</x:v>
      </x:c>
      <x:c r="G12" s="40" t="n">
        <x:v>0.67</x:v>
      </x:c>
      <x:c r="H12" s="38" t="str">
        <x:v>0.61–0.74</x:v>
      </x:c>
      <x:c r="I12" s="42" t="n">
        <x:v>1.2</x:v>
      </x:c>
      <x:c r="J12" s="33" t="str">
        <x:f>IF(AND(ISNUMBER('Calibration'!C8),'Calibration'!C8&gt;0),'Calibration'!C8,"")</x:f>
      </x:c>
      <x:c r="K12" s="33" t="str">
        <x:f>IF(AND(ISNUMBER(J12),J12&gt;0),SQRT(D12*'Integration'!$B$6*J12),"")</x:f>
      </x:c>
      <x:c r="L12" s="33" t="str">
        <x:f>IF(AND(ISNUMBER(J12),J12&gt;0),I12*J12,"")</x:f>
      </x:c>
      <x:c r="M12" s="33" t="str">
        <x:f>IF(AND(ISNUMBER(K12),K12&gt;0),L12/K12,"")</x:f>
      </x:c>
      <x:c r="N12" s="5" t="str">
        <x:v>E1 (proposal); R1/R3/R5 (definitions only)</x:v>
      </x:c>
    </x:row>
    <x:row r="13" ht="52" customHeight="1">
      <x:c r="A13" s="5" t="str">
        <x:v>Dilophosaurus wetherilli</x:v>
      </x:c>
      <x:c r="B13" s="5" t="str">
        <x:v>fast_grounded</x:v>
      </x:c>
      <x:c r="C13" s="5" t="str">
        <x:v>After walk acceptance</x:v>
      </x:c>
      <x:c r="D13" s="40" t="n">
        <x:v>0.5</x:v>
      </x:c>
      <x:c r="E13" s="40" t="n">
        <x:v>0.3</x:v>
      </x:c>
      <x:c r="F13" s="40" t="n">
        <x:v>0.75</x:v>
      </x:c>
      <x:c r="G13" s="40" t="n">
        <x:v>0.58</x:v>
      </x:c>
      <x:c r="H13" s="38" t="str">
        <x:v>0.53–0.63</x:v>
      </x:c>
      <x:c r="I13" s="42" t="n">
        <x:v>1.65</x:v>
      </x:c>
      <x:c r="J13" s="33" t="str">
        <x:f>IF(AND(ISNUMBER('Calibration'!C8),'Calibration'!C8&gt;0),'Calibration'!C8,"")</x:f>
      </x:c>
      <x:c r="K13" s="33" t="str">
        <x:f>IF(AND(ISNUMBER(J13),J13&gt;0),SQRT(D13*'Integration'!$B$6*J13),"")</x:f>
      </x:c>
      <x:c r="L13" s="33" t="str">
        <x:f>IF(AND(ISNUMBER(J13),J13&gt;0),I13*J13,"")</x:f>
      </x:c>
      <x:c r="M13" s="33" t="str">
        <x:f>IF(AND(ISNUMBER(K13),K13&gt;0),L13/K13,"")</x:f>
      </x:c>
      <x:c r="N13" s="5" t="str">
        <x:v>E1 (proposal); R1/R3/R5 (definitions only)</x:v>
      </x:c>
    </x:row>
    <x:row r="14" ht="52" customHeight="1">
      <x:c r="A14" s="5" t="str">
        <x:v>Dilophosaurus wetherilli</x:v>
      </x:c>
      <x:c r="B14" s="5" t="str">
        <x:v>aerial_run_probe</x:v>
      </x:c>
      <x:c r="C14" s="5" t="str">
        <x:v>GATED RESEARCH ONLY</x:v>
      </x:c>
      <x:c r="D14" s="40" t="n">
        <x:v>1</x:v>
      </x:c>
      <x:c r="E14" s="40" t="n">
        <x:v>0.75</x:v>
      </x:c>
      <x:c r="F14" s="40" t="n">
        <x:v>1.5</x:v>
      </x:c>
      <x:c r="G14" s="40" t="n">
        <x:v>0.46</x:v>
      </x:c>
      <x:c r="H14" s="38" t="str">
        <x:v>0.41–0.49</x:v>
      </x:c>
      <x:c r="I14" s="42" t="n">
        <x:v>2.3</x:v>
      </x:c>
      <x:c r="J14" s="33" t="str">
        <x:f>IF(AND(ISNUMBER('Calibration'!C8),'Calibration'!C8&gt;0),'Calibration'!C8,"")</x:f>
      </x:c>
      <x:c r="K14" s="33" t="str">
        <x:f>IF(AND(ISNUMBER(J14),J14&gt;0),SQRT(D14*'Integration'!$B$6*J14),"")</x:f>
      </x:c>
      <x:c r="L14" s="33" t="str">
        <x:f>IF(AND(ISNUMBER(J14),J14&gt;0),I14*J14,"")</x:f>
      </x:c>
      <x:c r="M14" s="33" t="str">
        <x:f>IF(AND(ISNUMBER(K14),K14&gt;0),L14/K14,"")</x:f>
      </x:c>
      <x:c r="N14" s="5" t="str">
        <x:v>E1 (proposal); R1/R3/R5 (definitions only)</x:v>
      </x:c>
    </x:row>
    <x:row r="15" ht="52" customHeight="1">
      <x:c r="A15" s="5" t="str">
        <x:v>Prenocephale prenes</x:v>
      </x:c>
      <x:c r="B15" s="5" t="str">
        <x:v>walk</x:v>
      </x:c>
      <x:c r="C15" s="5" t="str">
        <x:v>First candidate</x:v>
      </x:c>
      <x:c r="D15" s="40" t="n">
        <x:v>0.12</x:v>
      </x:c>
      <x:c r="E15" s="40" t="n">
        <x:v>0.06</x:v>
      </x:c>
      <x:c r="F15" s="40" t="n">
        <x:v>0.2</x:v>
      </x:c>
      <x:c r="G15" s="40" t="n">
        <x:v>0.69</x:v>
      </x:c>
      <x:c r="H15" s="38" t="str">
        <x:v>0.63–0.77</x:v>
      </x:c>
      <x:c r="I15" s="42" t="n">
        <x:v>1.05</x:v>
      </x:c>
      <x:c r="J15" s="33" t="str">
        <x:f>IF(AND(ISNUMBER('Calibration'!C9),'Calibration'!C9&gt;0),'Calibration'!C9,"")</x:f>
      </x:c>
      <x:c r="K15" s="33" t="str">
        <x:f>IF(AND(ISNUMBER(J15),J15&gt;0),SQRT(D15*'Integration'!$B$6*J15),"")</x:f>
      </x:c>
      <x:c r="L15" s="33" t="str">
        <x:f>IF(AND(ISNUMBER(J15),J15&gt;0),I15*J15,"")</x:f>
      </x:c>
      <x:c r="M15" s="33" t="str">
        <x:f>IF(AND(ISNUMBER(K15),K15&gt;0),L15/K15,"")</x:f>
      </x:c>
      <x:c r="N15" s="5" t="str">
        <x:v>E1 (proposal); R1/R3/R5 (definitions only)</x:v>
      </x:c>
    </x:row>
    <x:row r="16" ht="52" customHeight="1">
      <x:c r="A16" s="5" t="str">
        <x:v>Prenocephale prenes</x:v>
      </x:c>
      <x:c r="B16" s="5" t="str">
        <x:v>fast_grounded</x:v>
      </x:c>
      <x:c r="C16" s="5" t="str">
        <x:v>After walk acceptance</x:v>
      </x:c>
      <x:c r="D16" s="40" t="n">
        <x:v>0.4</x:v>
      </x:c>
      <x:c r="E16" s="40" t="n">
        <x:v>0.25</x:v>
      </x:c>
      <x:c r="F16" s="40" t="n">
        <x:v>0.6</x:v>
      </x:c>
      <x:c r="G16" s="40" t="n">
        <x:v>0.59</x:v>
      </x:c>
      <x:c r="H16" s="38" t="str">
        <x:v>0.54–0.65</x:v>
      </x:c>
      <x:c r="I16" s="42" t="n">
        <x:v>1.4</x:v>
      </x:c>
      <x:c r="J16" s="33" t="str">
        <x:f>IF(AND(ISNUMBER('Calibration'!C9),'Calibration'!C9&gt;0),'Calibration'!C9,"")</x:f>
      </x:c>
      <x:c r="K16" s="33" t="str">
        <x:f>IF(AND(ISNUMBER(J16),J16&gt;0),SQRT(D16*'Integration'!$B$6*J16),"")</x:f>
      </x:c>
      <x:c r="L16" s="33" t="str">
        <x:f>IF(AND(ISNUMBER(J16),J16&gt;0),I16*J16,"")</x:f>
      </x:c>
      <x:c r="M16" s="33" t="str">
        <x:f>IF(AND(ISNUMBER(K16),K16&gt;0),L16/K16,"")</x:f>
      </x:c>
      <x:c r="N16" s="5" t="str">
        <x:v>E1 (proposal); R1/R3/R5 (definitions only)</x:v>
      </x:c>
    </x:row>
    <x:row r="17" ht="52" customHeight="1">
      <x:c r="A17" s="5" t="str">
        <x:v>Prenocephale prenes</x:v>
      </x:c>
      <x:c r="B17" s="5" t="str">
        <x:v>aerial_run_probe</x:v>
      </x:c>
      <x:c r="C17" s="5" t="str">
        <x:v>GATED RESEARCH ONLY</x:v>
      </x:c>
      <x:c r="D17" s="40" t="n">
        <x:v>1</x:v>
      </x:c>
      <x:c r="E17" s="40" t="n">
        <x:v>0.7</x:v>
      </x:c>
      <x:c r="F17" s="40" t="n">
        <x:v>1.4</x:v>
      </x:c>
      <x:c r="G17" s="40" t="n">
        <x:v>0.46</x:v>
      </x:c>
      <x:c r="H17" s="38" t="str">
        <x:v>0.42–0.49</x:v>
      </x:c>
      <x:c r="I17" s="42" t="n">
        <x:v>2.1</x:v>
      </x:c>
      <x:c r="J17" s="33" t="str">
        <x:f>IF(AND(ISNUMBER('Calibration'!C9),'Calibration'!C9&gt;0),'Calibration'!C9,"")</x:f>
      </x:c>
      <x:c r="K17" s="33" t="str">
        <x:f>IF(AND(ISNUMBER(J17),J17&gt;0),SQRT(D17*'Integration'!$B$6*J17),"")</x:f>
      </x:c>
      <x:c r="L17" s="33" t="str">
        <x:f>IF(AND(ISNUMBER(J17),J17&gt;0),I17*J17,"")</x:f>
      </x:c>
      <x:c r="M17" s="33" t="str">
        <x:f>IF(AND(ISNUMBER(K17),K17&gt;0),L17/K17,"")</x:f>
      </x:c>
      <x:c r="N17" s="5" t="str">
        <x:v>E1 (proposal); R1/R3/R5 (definitions only)</x:v>
      </x:c>
    </x:row>
    <x:row r="18" ht="52" customHeight="1">
      <x:c r="A18" s="5" t="str">
        <x:v>Deinocheirus mirificus</x:v>
      </x:c>
      <x:c r="B18" s="5" t="str">
        <x:v>walk</x:v>
      </x:c>
      <x:c r="C18" s="5" t="str">
        <x:v>First candidate</x:v>
      </x:c>
      <x:c r="D18" s="40" t="n">
        <x:v>0.08</x:v>
      </x:c>
      <x:c r="E18" s="40" t="n">
        <x:v>0.04</x:v>
      </x:c>
      <x:c r="F18" s="40" t="n">
        <x:v>0.15</x:v>
      </x:c>
      <x:c r="G18" s="40" t="n">
        <x:v>0.74</x:v>
      </x:c>
      <x:c r="H18" s="38" t="str">
        <x:v>0.68–0.80</x:v>
      </x:c>
      <x:c r="I18" s="42" t="n">
        <x:v>0.9</x:v>
      </x:c>
      <x:c r="J18" s="33" t="str">
        <x:f>IF(AND(ISNUMBER('Calibration'!C10),'Calibration'!C10&gt;0),'Calibration'!C10,"")</x:f>
      </x:c>
      <x:c r="K18" s="33" t="str">
        <x:f>IF(AND(ISNUMBER(J18),J18&gt;0),SQRT(D18*'Integration'!$B$6*J18),"")</x:f>
      </x:c>
      <x:c r="L18" s="33" t="str">
        <x:f>IF(AND(ISNUMBER(J18),J18&gt;0),I18*J18,"")</x:f>
      </x:c>
      <x:c r="M18" s="33" t="str">
        <x:f>IF(AND(ISNUMBER(K18),K18&gt;0),L18/K18,"")</x:f>
      </x:c>
      <x:c r="N18" s="5" t="str">
        <x:v>E1 (proposal); R1/R3/R5 (definitions only)</x:v>
      </x:c>
    </x:row>
    <x:row r="19" ht="52" customHeight="1">
      <x:c r="A19" s="5" t="str">
        <x:v>Deinocheirus mirificus</x:v>
      </x:c>
      <x:c r="B19" s="5" t="str">
        <x:v>fast_grounded</x:v>
      </x:c>
      <x:c r="C19" s="5" t="str">
        <x:v>After walk acceptance</x:v>
      </x:c>
      <x:c r="D19" s="40" t="n">
        <x:v>0.25</x:v>
      </x:c>
      <x:c r="E19" s="40" t="n">
        <x:v>0.15</x:v>
      </x:c>
      <x:c r="F19" s="40" t="n">
        <x:v>0.4</x:v>
      </x:c>
      <x:c r="G19" s="40" t="n">
        <x:v>0.64</x:v>
      </x:c>
      <x:c r="H19" s="38" t="str">
        <x:v>0.59–0.70</x:v>
      </x:c>
      <x:c r="I19" s="42" t="n">
        <x:v>1.25</x:v>
      </x:c>
      <x:c r="J19" s="33" t="str">
        <x:f>IF(AND(ISNUMBER('Calibration'!C10),'Calibration'!C10&gt;0),'Calibration'!C10,"")</x:f>
      </x:c>
      <x:c r="K19" s="33" t="str">
        <x:f>IF(AND(ISNUMBER(J19),J19&gt;0),SQRT(D19*'Integration'!$B$6*J19),"")</x:f>
      </x:c>
      <x:c r="L19" s="33" t="str">
        <x:f>IF(AND(ISNUMBER(J19),J19&gt;0),I19*J19,"")</x:f>
      </x:c>
      <x:c r="M19" s="33" t="str">
        <x:f>IF(AND(ISNUMBER(K19),K19&gt;0),L19/K19,"")</x:f>
      </x:c>
      <x:c r="N19" s="5" t="str">
        <x:v>E1 (proposal); R1/R3/R5 (definitions only)</x:v>
      </x:c>
    </x:row>
  </x:sheetData>
  <x:mergeCells>
    <x:mergeCell ref="A1:N1"/>
    <x:mergeCell ref="A2:N3"/>
  </x:mergeCells>
  <x:pageMargins left="0.7" right="0.7" top="0.75" bottom="0.75" header="0.3" footer="0.3"/>
  <x:tableParts count="1">
    <x:tablePart xmlns:r="http://schemas.openxmlformats.org/officeDocument/2006/relationships" r:id="R4f869762f5554d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63" hidden="0" customWidth="1"/>
    <x:col min="5" max="5" width="58" hidden="0" customWidth="1"/>
    <x:col min="6" max="6" width="56" hidden="0" customWidth="1"/>
    <x:col min="7" max="7" width="60" hidden="0" customWidth="1"/>
    <x:col min="8" max="8" width="58" hidden="0" customWidth="1"/>
    <x:col min="9" max="9" width="24" hidden="0" customWidth="1"/>
  </x:cols>
  <x:sheetData>
    <x:row r="1" ht="34" customHeight="1">
      <x:c r="A1" s="11" t="str">
        <x:v>BODY CONTROLS  /  MAKE THE SPECIES FEEL DIFFERENT</x:v>
      </x:c>
      <x:c r="B1" s="11"/>
      <x:c r="C1" s="11"/>
      <x:c r="D1" s="11"/>
      <x:c r="E1" s="11"/>
      <x:c r="F1" s="11"/>
      <x:c r="G1" s="11"/>
      <x:c r="H1" s="11"/>
      <x:c r="I1" s="11"/>
    </x:row>
    <x:row r="2" ht="23" customHeight="1">
      <x:c r="A2" s="15" t="str">
        <x:v>Width and clearance are E1 walking-start targets only. Width is full left-to-right lane separation; clearance is the lowest toe/pad surface at midswing, not an ankle or bone origin. Other gaits need separately solved contact plans.</x:v>
      </x:c>
      <x:c r="B2" s="15"/>
      <x:c r="C2" s="15"/>
      <x:c r="D2" s="15"/>
      <x:c r="E2" s="15"/>
      <x:c r="F2" s="15"/>
      <x:c r="G2" s="15"/>
      <x:c r="H2" s="15"/>
      <x:c r="I2" s="15"/>
    </x:row>
    <x:row r="3" ht="23" customHeight="1">
      <x:c r="A3" s="15"/>
      <x:c r="B3" s="15"/>
      <x:c r="C3" s="15"/>
      <x:c r="D3" s="15"/>
      <x:c r="E3" s="15"/>
      <x:c r="F3" s="15"/>
      <x:c r="G3" s="15"/>
      <x:c r="H3" s="15"/>
      <x:c r="I3" s="15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 ht="38" customHeight="1">
      <x:c r="A5" s="19" t="str">
        <x:v>Taxon</x:v>
      </x:c>
      <x:c r="B5" s="19" t="str">
        <x:v>Walk stance width / h</x:v>
      </x:c>
      <x:c r="C5" s="19" t="str">
        <x:v>Walk toe clearance / h</x:v>
      </x:c>
      <x:c r="D5" s="19" t="str">
        <x:v>Tail proposal</x:v>
      </x:c>
      <x:c r="E5" s="19" t="str">
        <x:v>Head / neck proposal</x:v>
      </x:c>
      <x:c r="F5" s="19" t="str">
        <x:v>Forelimb proposal</x:v>
      </x:c>
      <x:c r="G5" s="19" t="str">
        <x:v>Foot / contact proposal</x:v>
      </x:c>
      <x:c r="H5" s="19" t="str">
        <x:v>Do not do this</x:v>
      </x:c>
      <x:c r="I5" s="19" t="str">
        <x:v>Source IDs</x:v>
      </x:c>
    </x:row>
    <x:row r="6" ht="132" customHeight="1">
      <x:c r="A6" s="5" t="str">
        <x:v>Alioramus altai</x:v>
      </x:c>
      <x:c r="B6" s="40" t="n">
        <x:v>0.12</x:v>
      </x:c>
      <x:c r="C6" s="40" t="n">
        <x:v>0.07</x:v>
      </x:c>
      <x:c r="D6" s="5" t="str">
        <x:v>Test Coelophysis-inspired coupling toward the retracting stance limb as a weak prior; tune using measured body momentum, not a fixed copied amplitude.</x:v>
      </x:c>
      <x:c r="E6" s="5" t="str">
        <x:v>Separate world-gaze stabilization from neck carriage; avoid compensating every pelvis movement with an equal skull rotation.</x:v>
      </x:c>
      <x:c r="F6" s="5" t="str">
        <x:v>Keep locomotion arm movement restrained; identify actual semantic chains before adding hand detail.</x:v>
      </x:c>
      <x:c r="G6" s="5" t="str">
        <x:v>Separate ankle, metatarsus, MTP and toe chains; verify which vertices actually carry support.</x:v>
      </x:c>
      <x:c r="H6" s="5" t="str">
        <x:v>Adult T. rex mass/speed limits copied into this juvenile; pelvis-only balance; decorative tail wag.</x:v>
      </x:c>
      <x:c r="I6" s="5" t="str">
        <x:v>S1; R1; R2; E1</x:v>
      </x:c>
    </x:row>
    <x:row r="7" ht="132" customHeight="1">
      <x:c r="A7" s="5" t="str">
        <x:v>Gallimimus bullatus</x:v>
      </x:c>
      <x:c r="B7" s="40" t="n">
        <x:v>0.1</x:v>
      </x:c>
      <x:c r="C7" s="40" t="n">
        <x:v>0.08</x:v>
      </x:c>
      <x:c r="D7" s="5" t="str">
        <x:v>Test modest inertial coordination with the legs; retain a long-tail model instead of replacing it with ostrich trunk mechanics.</x:v>
      </x:c>
      <x:c r="E7" s="5" t="str">
        <x:v>Prioritize stable visual attention and distributed neck curvature; no frozen head-on-spring treatment.</x:v>
      </x:c>
      <x:c r="F7" s="5" t="str">
        <x:v>Bounded arm/hand poses; avoid mammalian palm-down running swings.</x:v>
      </x:c>
      <x:c r="G7" s="5" t="str">
        <x:v>Three main pedal digits; ornithomimid hallux absent. Separate toe release from metatarsal pitch and ankle recovery.</x:v>
      </x:c>
      <x:c r="H7" s="5" t="str">
        <x:v>A scaled ostrich clip; long legs treated as proof of a particular top speed; rigid toes.</x:v>
      </x:c>
      <x:c r="I7" s="5" t="str">
        <x:v>S2; R1; R2; E1</x:v>
      </x:c>
    </x:row>
    <x:row r="8" ht="132" customHeight="1">
      <x:c r="A8" s="5" t="str">
        <x:v>Dilophosaurus wetherilli</x:v>
      </x:c>
      <x:c r="B8" s="40" t="n">
        <x:v>0.13</x:v>
      </x:c>
      <x:c r="C8" s="40" t="n">
        <x:v>0.07</x:v>
      </x:c>
      <x:c r="D8" s="5" t="str">
        <x:v>Coelophysis is a mechanism comparator; refit tail mass, length and flexibility rather than copying its waveform.</x:v>
      </x:c>
      <x:c r="E8" s="5" t="str">
        <x:v>Carry the crested head with the neck, while keeping gaze control separate; no unsupported universal head-pitch angle.</x:v>
      </x:c>
      <x:c r="F8" s="5" t="str">
        <x:v>Give shoulders/elbows their own restrained gait response; hand interaction remains a separate task.</x:v>
      </x:c>
      <x:c r="G8" s="5" t="str">
        <x:v>Three supporting toe branches as a candidate semantic model, subject to anatomy/rig review; no rigid block-foot simplification in final skin.</x:v>
      </x:c>
      <x:c r="H8" s="5" t="str">
        <x:v>Uniformly scale Coelophysis speed or joint excursions; oscillating crests used to imply weight.</x:v>
      </x:c>
      <x:c r="I8" s="5" t="str">
        <x:v>S3; R1; R2; E1</x:v>
      </x:c>
    </x:row>
    <x:row r="9" ht="132" customHeight="1">
      <x:c r="A9" s="5" t="str">
        <x:v>Prenocephale prenes</x:v>
      </x:c>
      <x:c r="B9" s="40" t="n">
        <x:v>0.16</x:v>
      </x:c>
      <x:c r="C9" s="40" t="n">
        <x:v>0.06</x:v>
      </x:c>
      <x:c r="D9" s="5" t="str">
        <x:v>Begin with restrained continuity and turn response; do not claim a theropod caudofemoralis pattern has been established for this animal.</x:v>
      </x:c>
      <x:c r="E9" s="5" t="str">
        <x:v>Neutral attention first; head-lowering and bracing are separate behaviors, not permanent locomotor poses.</x:v>
      </x:c>
      <x:c r="F9" s="5" t="str">
        <x:v>Conservative non-weight-bearing locomotion poses; any bracing use requires separate investigation.</x:v>
      </x:c>
      <x:c r="G9" s="5" t="str">
        <x:v>Measure the actual toe geometry and support footprint; do not borrow Gallimimus contact geometry or a chicken muscle inventory.</x:v>
      </x:c>
      <x:c r="H9" s="5" t="str">
        <x:v>Theropod muscle map inherited by taxonomy accident; presumed high-speed headbutting or leap attacks.</x:v>
      </x:c>
      <x:c r="I9" s="5" t="str">
        <x:v>S4; R1; R2; R4; E1</x:v>
      </x:c>
    </x:row>
    <x:row r="10" ht="132" customHeight="1">
      <x:c r="A10" s="5" t="str">
        <x:v>Deinocheirus mirificus</x:v>
      </x:c>
      <x:c r="B10" s="40" t="n">
        <x:v>0.18</x:v>
      </x:c>
      <x:c r="C10" s="40" t="n">
        <x:v>0.05</x:v>
      </x:c>
      <x:c r="D10" s="5" t="str">
        <x:v>Fit its own tail/torso distribution and turn response; not an amplified Gallimimus tail curve.</x:v>
      </x:c>
      <x:c r="E10" s="5" t="str">
        <x:v>Slow, distributed neck/torso coordination for changes of attention; validate whole-body response to reaching.</x:v>
      </x:c>
      <x:c r="F10" s="5" t="str">
        <x:v>Include arm mass/inertia in dynamics; controlled repositioning rather than unmodeled hanging visual appendages.</x:v>
      </x:c>
      <x:c r="G10" s="5" t="str">
        <x:v>Broad footprint contact; gentle toe/pad load transfer. Do not replace broad ungual geometry with narrow bird-like contact points.</x:v>
      </x:c>
      <x:c r="H10" s="5" t="str">
        <x:v>Scaled-up Gallimimus running; bouncing pelvis; assumed aerial phase; same torque limits as small bipeds.</x:v>
      </x:c>
      <x:c r="I10" s="5" t="str">
        <x:v>S5; R1; R2; R3; E1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071c16c6fa2d44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40" hidden="0" customWidth="1"/>
    <x:col min="4" max="4" width="67" hidden="0" customWidth="1"/>
    <x:col min="5" max="5" width="67" hidden="0" customWidth="1"/>
    <x:col min="6" max="6" width="21" hidden="0" customWidth="1"/>
  </x:cols>
  <x:sheetData>
    <x:row r="1" ht="34" customHeight="1">
      <x:c r="A1" s="11" t="str">
        <x:v>FACTORY INTEGRATION  /  FIELDS &amp; ACCEPTANCE</x:v>
      </x:c>
      <x:c r="B1" s="11"/>
      <x:c r="C1" s="11"/>
      <x:c r="D1" s="11"/>
      <x:c r="E1" s="11"/>
      <x:c r="F1" s="11"/>
    </x:row>
    <x:row r="2" ht="23" customHeight="1">
      <x:c r="A2" s="15" t="str">
        <x:v>This proposal reuses the repository's separation of animal, rig, contact, program, performance and articulation profiles. It does not silently extend the production schema or grant approval.</x:v>
      </x:c>
      <x:c r="B2" s="15"/>
      <x:c r="C2" s="15"/>
      <x:c r="D2" s="15"/>
      <x:c r="E2" s="15"/>
      <x:c r="F2" s="15"/>
    </x:row>
    <x:row r="3" ht="23" customHeight="1">
      <x:c r="A3" s="15"/>
      <x:c r="B3" s="15"/>
      <x:c r="C3" s="15"/>
      <x:c r="D3" s="15"/>
      <x:c r="E3" s="15"/>
      <x:c r="F3" s="15"/>
    </x:row>
    <x:row r="4">
      <x:c r="A4" s="5"/>
      <x:c r="B4" s="5"/>
      <x:c r="C4" s="5"/>
      <x:c r="D4" s="5"/>
      <x:c r="E4" s="5"/>
      <x:c r="F4" s="5"/>
    </x:row>
    <x:row r="5" ht="38" customHeight="1">
      <x:c r="A5" s="19" t="str">
        <x:v>Field / check</x:v>
      </x:c>
      <x:c r="B5" s="19" t="str">
        <x:v>Value / state</x:v>
      </x:c>
      <x:c r="C5" s="19" t="str">
        <x:v>Where it belongs</x:v>
      </x:c>
      <x:c r="D5" s="19" t="str">
        <x:v>Required work</x:v>
      </x:c>
      <x:c r="E5" s="19" t="str">
        <x:v>Boundary</x:v>
      </x:c>
      <x:c r="F5" s="19" t="str">
        <x:v>Source IDs</x:v>
      </x:c>
    </x:row>
    <x:row r="6" ht="96" customHeight="1">
      <x:c r="A6" s="5" t="str">
        <x:v>Gravity g (m/s²)</x:v>
      </x:c>
      <x:c r="B6" s="44" t="n">
        <x:v>9.81</x:v>
      </x:c>
      <x:c r="C6" s="5" t="str">
        <x:v>Shared arithmetic constant</x:v>
      </x:c>
      <x:c r="D6" s="5" t="str">
        <x:v>Gait targets refers to this cell.</x:v>
      </x:c>
      <x:c r="E6" s="5" t="str">
        <x:v>Not a tunable dinosaur trait.</x:v>
      </x:c>
      <x:c r="F6" s="5" t="str">
        <x:v>R5</x:v>
      </x:c>
    </x:row>
    <x:row r="7" ht="96" customHeight="1">
      <x:c r="A7" s="5" t="str">
        <x:v>Evidence layer</x:v>
      </x:c>
      <x:c r="B7" s="5" t="str">
        <x:v>REQUIRED</x:v>
      </x:c>
      <x:c r="C7" s="5" t="str">
        <x:v>catalog/animals + research sidecar</x:v>
      </x:c>
      <x:c r="D7" s="5" t="str">
        <x:v>Keep taxon, specimen, life stage, value, unit, evidence class and locator separate.</x:v>
      </x:c>
      <x:c r="E7" s="5" t="str">
        <x:v>New research schema is not factory-loader compatible.</x:v>
      </x:c>
      <x:c r="F7" s="5" t="str">
        <x:v>R2; REPO</x:v>
      </x:c>
    </x:row>
    <x:row r="8" ht="96" customHeight="1">
      <x:c r="A8" s="5" t="str">
        <x:v>Geometry / rig</x:v>
      </x:c>
      <x:c r="B8" s="5" t="str">
        <x:v>REQUIRED</x:v>
      </x:c>
      <x:c r="C8" s="5" t="str">
        <x:v>source + rig bindings</x:v>
      </x:c>
      <x:c r="D8" s="5" t="str">
        <x:v>Measure joint frames, segment lengths, skin influences, actual support surfaces and scale; preserve hashes.</x:v>
      </x:c>
      <x:c r="E8" s="5" t="str">
        <x:v>A Git blob SHA-1 is not the SHA-256 expected by recipe bindings.</x:v>
      </x:c>
      <x:c r="F8" s="5" t="str">
        <x:v>R2; REPO</x:v>
      </x:c>
    </x:row>
    <x:row r="9" ht="96" customHeight="1">
      <x:c r="A9" s="5" t="str">
        <x:v>Period semantics</x:v>
      </x:c>
      <x:c r="B9" s="5" t="str">
        <x:v>ADAPTER REQUIRED</x:v>
      </x:c>
      <x:c r="C9" s="5" t="str">
        <x:v>program_profile</x:v>
      </x:c>
      <x:c r="D9" s="5" t="str">
        <x:v>Our stride period means same-foot touchdown to next same-foot touchdown.</x:v>
      </x:c>
      <x:c r="E9" s="5" t="str">
        <x:v>Existing step_period_s must be checked against code before mapping; do not assume 1:1 or multiply by two blindly.</x:v>
      </x:c>
      <x:c r="F9" s="5" t="str">
        <x:v>REPO; E1</x:v>
      </x:c>
    </x:row>
    <x:row r="10" ht="96" customHeight="1">
      <x:c r="A10" s="5" t="str">
        <x:v>Normalization</x:v>
      </x:c>
      <x:c r="B10" s="5" t="str">
        <x:v>ADAPTER REQUIRED</x:v>
      </x:c>
      <x:c r="C10" s="5" t="str">
        <x:v>program_profile / performance_profile</x:v>
      </x:c>
      <x:c r="D10" s="5" t="str">
        <x:v>Convert h-normalized distances into the factory's actual reference-height convention.</x:v>
      </x:c>
      <x:c r="E10" s="5" t="str">
        <x:v>body_heights fields and standing hip height are not automatically identical.</x:v>
      </x:c>
      <x:c r="F10" s="5" t="str">
        <x:v>REPO; E1</x:v>
      </x:c>
    </x:row>
    <x:row r="11" ht="96" customHeight="1">
      <x:c r="A11" s="5" t="str">
        <x:v>Articulation</x:v>
      </x:c>
      <x:c r="B11" s="5" t="str">
        <x:v>CALIBRATE</x:v>
      </x:c>
      <x:c r="C11" s="5" t="str">
        <x:v>articulation_profile</x:v>
      </x:c>
      <x:c r="D11" s="5" t="str">
        <x:v>Record reference frames and coupled mobility; separate neutral pose from standing pose.</x:v>
      </x:c>
      <x:c r="E11" s="5" t="str">
        <x:v>No universal knee/ankle/neck hard-angle limits are supplied by the papers for our five species.</x:v>
      </x:c>
      <x:c r="F11" s="5" t="str">
        <x:v>R1; R2</x:v>
      </x:c>
    </x:row>
    <x:row r="12" ht="96" customHeight="1">
      <x:c r="A12" s="5" t="str">
        <x:v>Foot slip / contact</x:v>
      </x:c>
      <x:c r="B12" s="5" t="str">
        <x:v>MEASURE</x:v>
      </x:c>
      <x:c r="C12" s="5" t="str">
        <x:v>contact_profile; final skinned artifact</x:v>
      </x:c>
      <x:c r="D12" s="5" t="str">
        <x:v>Track the material contact patch appropriate to rolling toe/pad contact, and ground-relative slip.</x:v>
      </x:c>
      <x:c r="E12" s="5" t="str">
        <x:v>A fixed ankle target is not proof of no-slip, valid toe release, or full-skin clearance.</x:v>
      </x:c>
      <x:c r="F12" s="5" t="str">
        <x:v>R1; E1</x:v>
      </x:c>
    </x:row>
    <x:row r="13" ht="96" customHeight="1">
      <x:c r="A13" s="5" t="str">
        <x:v>Dynamic support</x:v>
      </x:c>
      <x:c r="B13" s="5" t="str">
        <x:v>MEASURE</x:v>
      </x:c>
      <x:c r="C13" s="5" t="str">
        <x:v>physics backend + diagnostics</x:v>
      </x:c>
      <x:c r="D13" s="5" t="str">
        <x:v>Use whole-body COM, angular momentum, contact forces and impulse; compare all phases.</x:v>
      </x:c>
      <x:c r="E13" s="5" t="str">
        <x:v>Do not require COM projection inside the support polygon at every dynamic frame; static constraints are not running dynamics.</x:v>
      </x:c>
      <x:c r="F13" s="5" t="str">
        <x:v>R2; R3; E1</x:v>
      </x:c>
    </x:row>
    <x:row r="14" ht="96" customHeight="1">
      <x:c r="A14" s="5" t="str">
        <x:v>Steady vertical impulse</x:v>
      </x:c>
      <x:c r="B14" s="5" t="str">
        <x:v>MEASURE</x:v>
      </x:c>
      <x:c r="C14" s="5" t="str">
        <x:v>physics validation</x:v>
      </x:c>
      <x:c r="D14" s="5" t="str">
        <x:v>For a periodic level gait: integrated total vertical contact force should balance mg × cycle duration.</x:v>
      </x:c>
      <x:c r="E14" s="5" t="str">
        <x:v>Pelvis acceleration × body mass is not a measured ground reaction force.</x:v>
      </x:c>
      <x:c r="F14" s="5" t="str">
        <x:v>REPO; E1</x:v>
      </x:c>
    </x:row>
    <x:row r="15" ht="96" customHeight="1">
      <x:c r="A15" s="5" t="str">
        <x:v>Actuator capacity</x:v>
      </x:c>
      <x:c r="B15" s="5" t="str">
        <x:v>UNRESOLVED</x:v>
      </x:c>
      <x:c r="C15" s="5" t="str">
        <x:v>physics model</x:v>
      </x:c>
      <x:c r="D15" s="5" t="str">
        <x:v>Determine torque/force capabilities and sensitivity from explicitly modeled anatomy or declared engineering limits.</x:v>
      </x:c>
      <x:c r="E15" s="5" t="str">
        <x:v>Do not copy equal 2 BW muscle forces, 1,000 Nm MTP reserves, or unconstrained motors as biological capacity.</x:v>
      </x:c>
      <x:c r="F15" s="5" t="str">
        <x:v>R2; R4</x:v>
      </x:c>
    </x:row>
    <x:row r="16" ht="96" customHeight="1">
      <x:c r="A16" s="5" t="str">
        <x:v>Stress claims</x:v>
      </x:c>
      <x:c r="B16" s="5" t="str">
        <x:v>UNRESOLVED</x:v>
      </x:c>
      <x:c r="C16" s="5" t="str">
        <x:v>optional anatomical stress model</x:v>
      </x:c>
      <x:c r="D16" s="5" t="str">
        <x:v>Requires long-bone geometry, material assumptions and actual force/loading analysis.</x:v>
      </x:c>
      <x:c r="E16" s="5" t="str">
        <x:v>A stable rigid-body animation or a 100 MPa global cutoff does not reproduce Sellers et al.</x:v>
      </x:c>
      <x:c r="F16" s="5" t="str">
        <x:v>R3</x:v>
      </x:c>
    </x:row>
    <x:row r="17" ht="96" customHeight="1">
      <x:c r="A17" s="5" t="str">
        <x:v>Starts / stops / turns</x:v>
      </x:c>
      <x:c r="B17" s="5" t="str">
        <x:v>SEPARATE TASKS</x:v>
      </x:c>
      <x:c r="C17" s="5" t="str">
        <x:v>versioned recipes and contact plans</x:v>
      </x:c>
      <x:c r="D17" s="5" t="str">
        <x:v>Preserve contacting surfaces through initiation, braking, settling and reorientation.</x:v>
      </x:c>
      <x:c r="E17" s="5" t="str">
        <x:v>An approved loop does not approve a crossfade, stop, or turn.</x:v>
      </x:c>
      <x:c r="F17" s="5" t="str">
        <x:v>E1; REPO</x:v>
      </x:c>
    </x:row>
    <x:row r="18" ht="96" customHeight="1">
      <x:c r="A18" s="5" t="str">
        <x:v>Jumping / aerial movement</x:v>
      </x:c>
      <x:c r="B18" s="5" t="str">
        <x:v>GATED</x:v>
      </x:c>
      <x:c r="C18" s="5" t="str">
        <x:v>capability policy</x:v>
      </x:c>
      <x:c r="D18" s="5" t="str">
        <x:v>Jumping off by default; validate take-off, flight and landing separately. Aerial-running probes optional except giant profile.</x:v>
      </x:c>
      <x:c r="E18" s="5" t="str">
        <x:v>Disabled means not admitted for initial authoring, not proven impossible in the species.</x:v>
      </x:c>
      <x:c r="F18" s="5" t="str">
        <x:v>R1; R3; E1</x:v>
      </x:c>
    </x:row>
    <x:row r="19" ht="96" customHeight="1">
      <x:c r="A19" s="5" t="str">
        <x:v>Unity handoff</x:v>
      </x:c>
      <x:c r="B19" s="5" t="str">
        <x:v>NOT RUN</x:v>
      </x:c>
      <x:c r="C19" s="5" t="str">
        <x:v>final motion package</x:v>
      </x:c>
      <x:c r="D19" s="5" t="str">
        <x:v>Retarget and reopen final animation, then test native imported rig, timing, skin and root-motion ownership.</x:v>
      </x:c>
      <x:c r="E19" s="5" t="str">
        <x:v>Export success is not native Unity parity or production approval.</x:v>
      </x:c>
      <x:c r="F19" s="5" t="str">
        <x:v>REPO</x:v>
      </x:c>
    </x:row>
    <x:row r="20" ht="96" customHeight="1">
      <x:c r="A20" s="5" t="str">
        <x:v>Suggested order</x:v>
      </x:c>
      <x:c r="B20" s="5" t="str">
        <x:v>PROPOSAL</x:v>
      </x:c>
      <x:c r="C20" s="5" t="str">
        <x:v>Alioramus → Gallimimus → Deinocheirus contrast</x:v>
      </x:c>
      <x:c r="D20" s="5" t="str">
        <x:v>Prove one existing-source bridge; test runner contrast; then mass/body-plan contrast. Dilophosaurus and Prenocephale follow independently.</x:v>
      </x:c>
      <x:c r="E20" s="5" t="str">
        <x:v>Do not expand clip count instead of solving the first animal's anatomy/contact problems.</x:v>
      </x:c>
      <x:c r="F20" s="5" t="str">
        <x:v>E1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5604543f18d94c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8" hidden="0" customWidth="1"/>
    <x:col min="3" max="3" width="42" hidden="0" customWidth="1"/>
    <x:col min="4" max="4" width="54" hidden="0" customWidth="1"/>
    <x:col min="5" max="5" width="70" hidden="0" customWidth="1"/>
    <x:col min="6" max="6" width="78" hidden="0" customWidth="1"/>
    <x:col min="7" max="7" width="60" hidden="0" customWidth="1"/>
  </x:cols>
  <x:sheetData>
    <x:row r="1" ht="34" customHeight="1">
      <x:c r="A1" s="11" t="str">
        <x:v>EVIDENCE REGISTER  /  TRACE EVERY CLAIM</x:v>
      </x:c>
      <x:c r="B1" s="11"/>
      <x:c r="C1" s="11"/>
      <x:c r="D1" s="11"/>
      <x:c r="E1" s="11"/>
      <x:c r="F1" s="11"/>
      <x:c r="G1" s="11"/>
    </x:row>
    <x:row r="2" ht="23" customHeight="1">
      <x:c r="A2" s="15" t="str">
        <x:v>Research sources support the mechanisms and anatomical distinctions indicated. Only E1 owns the proposed numeric gait values. No external illustrations, models, or protected figure assets are redistributed.</x:v>
      </x:c>
      <x:c r="B2" s="15"/>
      <x:c r="C2" s="15"/>
      <x:c r="D2" s="15"/>
      <x:c r="E2" s="15"/>
      <x:c r="F2" s="15"/>
      <x:c r="G2" s="15"/>
    </x:row>
    <x:row r="3" ht="23" customHeight="1">
      <x:c r="A3" s="15"/>
      <x:c r="B3" s="15"/>
      <x:c r="C3" s="15"/>
      <x:c r="D3" s="15"/>
      <x:c r="E3" s="15"/>
      <x:c r="F3" s="15"/>
      <x:c r="G3" s="15"/>
    </x:row>
    <x:row r="4">
      <x:c r="A4" s="5"/>
      <x:c r="B4" s="5"/>
      <x:c r="C4" s="5"/>
      <x:c r="D4" s="5"/>
      <x:c r="E4" s="5"/>
      <x:c r="F4" s="5"/>
      <x:c r="G4" s="5"/>
    </x:row>
    <x:row r="5" ht="38" customHeight="1">
      <x:c r="A5" s="19" t="str">
        <x:v>ID</x:v>
      </x:c>
      <x:c r="B5" s="19" t="str">
        <x:v>Citation</x:v>
      </x:c>
      <x:c r="C5" s="19" t="str">
        <x:v>Source class</x:v>
      </x:c>
      <x:c r="D5" s="19" t="str">
        <x:v>Locator</x:v>
      </x:c>
      <x:c r="E5" s="19" t="str">
        <x:v>Supports</x:v>
      </x:c>
      <x:c r="F5" s="19" t="str">
        <x:v>Does not support</x:v>
      </x:c>
      <x:c r="G5" s="19" t="str">
        <x:v>Source URL</x:v>
      </x:c>
    </x:row>
    <x:row r="6" ht="126" customHeight="1">
      <x:c r="A6" s="5" t="str">
        <x:v>R1</x:v>
      </x:c>
      <x:c r="B6" s="5" t="str">
        <x:v>Cuff et al. (2022), Walking—and Running and Jumping—with Dinosaurs and their Cousins</x:v>
      </x:c>
      <x:c r="C6" s="5" t="str">
        <x:v>User-supplied primary research/review</x:v>
      </x:c>
      <x:c r="D6" s="5" t="str">
        <x:v>PDF pp. 6–8, Table 1; p. 11, Table 2; pp. 14–15, Fig. 7</x:v>
      </x:c>
      <x:c r="E6" s="5" t="str">
        <x:v>Archosaur gait mechanics; grounded versus aerial running; foot-model limitations; Coelophysis tail/stance coupling.</x:v>
      </x:c>
      <x:c r="F6" s="5" t="str">
        <x:v>Not a parameter dataset for the five target taxa. Table 1 is representative extant walking trials, not joint ROM. Table 2 contains none of these five taxa.</x:v>
      </x:c>
      <x:c r="G6" s="5" t="str">
        <x:v>https://doi.org/10.1093/icb/icac049</x:v>
      </x:c>
    </x:row>
    <x:row r="7" ht="126" customHeight="1">
      <x:c r="A7" s="5" t="str">
        <x:v>R2</x:v>
      </x:c>
      <x:c r="B7" s="5" t="str">
        <x:v>Bishop, Cuff &amp; Hutchinson (2021), How to build a dinosaur</x:v>
      </x:c>
      <x:c r="C7" s="5" t="str">
        <x:v>User-supplied primary research</x:v>
      </x:c>
      <x:c r="D7" s="5" t="str">
        <x:v>Printed pp. 3, 8–13, 18–26; PDF pages are one higher</x:v>
      </x:c>
      <x:c r="E7" s="5" t="str">
        <x:v>Joint-frame calibration; reference pose versus habitual pose; mass/COM/inertia; osteological mobility and uncertainty.</x:v>
      </x:c>
      <x:c r="F7" s="5" t="str">
        <x:v>Coelophysis case study is static inverse mid-stance analysis, not a full locomotion controller. Its 33 MTUs and force assumptions are model-specific.</x:v>
      </x:c>
      <x:c r="G7" s="5" t="str">
        <x:v>https://doi.org/10.1017/pab.2020.46</x:v>
      </x:c>
    </x:row>
    <x:row r="8" ht="126" customHeight="1">
      <x:c r="A8" s="5" t="str">
        <x:v>R3</x:v>
      </x:c>
      <x:c r="B8" s="5" t="str">
        <x:v>Sellers et al. (2017), Investigating the running abilities of Tyrannosaurus rex</x:v>
      </x:c>
      <x:c r="C8" s="5" t="str">
        <x:v>User-supplied primary research</x:v>
      </x:c>
      <x:c r="D8" s="5" t="str">
        <x:v>pp. 4–7 model; pp. 9–13 results, gait definitions and limitations</x:v>
      </x:c>
      <x:c r="E8" s="5" t="str">
        <x:v>Stress constraints can exclude fast aerial gaits; grounded running differs from aerial running.</x:v>
      </x:c>
      <x:c r="F8" s="5" t="str">
        <x:v>A particular 7,206.7 kg adult T. rex model. Not a universal speed, stress limit, or no-running rule for other taxa.</x:v>
      </x:c>
      <x:c r="G8" s="5" t="str">
        <x:v>https://doi.org/10.7717/peerj.3420</x:v>
      </x:c>
    </x:row>
    <x:row r="9" ht="126" customHeight="1">
      <x:c r="A9" s="5" t="str">
        <x:v>R4</x:v>
      </x:c>
      <x:c r="B9" s="5" t="str">
        <x:v>Bishop et al. (2018), Cancellous bone and theropod dinosaur locomotion, Part II</x:v>
      </x:c>
      <x:c r="C9" s="5" t="str">
        <x:v>User-supplied primary research</x:v>
      </x:c>
      <x:c r="D9" s="5" t="str">
        <x:v>pp. 3–4; 11–17; 26; discussion</x:v>
      </x:c>
      <x:c r="E9" s="5" t="str">
        <x:v>Characteristic posture estimated from bone fabric; quasi-static chicken validation and its limitations.</x:v>
      </x:c>
      <x:c r="F9" s="5" t="str">
        <x:v>Not Part III. A characteristic posture is not a full gait. Uniform 2 BW actuator forces and large MTP reserve are modeling conveniences, not dinosaur strengths.</x:v>
      </x:c>
      <x:c r="G9" s="5" t="str">
        <x:v>https://doi.org/10.7717/peerj.5779</x:v>
      </x:c>
    </x:row>
    <x:row r="10" ht="126" customHeight="1">
      <x:c r="A10" s="5" t="str">
        <x:v>S1</x:v>
      </x:c>
      <x:c r="B10" s="5" t="str">
        <x:v>Yun (2024), Mandibular force profiles of Alioramini</x:v>
      </x:c>
      <x:c r="C10" s="5" t="str">
        <x:v>External primary research; mass attribution to earlier study</x:v>
      </x:c>
      <x:c r="D10" s="5" t="str">
        <x:v>Introduction, p. 2: MPC-D 100/1844; cites Brusatte et al. (2009)</x:v>
      </x:c>
      <x:c r="E10" s="5" t="str">
        <x:v>Reports 369 kg estimate for the juvenile Alioramus altai holotype.</x:v>
      </x:c>
      <x:c r="F10" s="5" t="str">
        <x:v>Literature mass anchor, not a measurement of our GLB and not an adult mass. No locomotion calibration provided.</x:v>
      </x:c>
      <x:c r="G10" s="5" t="str">
        <x:v>https://doi.org/10.18261/let.57.2.6</x:v>
      </x:c>
    </x:row>
    <x:row r="11" ht="126" customHeight="1">
      <x:c r="A11" s="5" t="str">
        <x:v>S2</x:v>
      </x:c>
      <x:c r="B11" s="5" t="str">
        <x:v>Makovicky, Kobayashi &amp; Currie (2004), Ornithomimosauria, The Dinosauria</x:v>
      </x:c>
      <x:c r="C11" s="5" t="str">
        <x:v>External author-uploaded scholarly anatomical synthesis</x:v>
      </x:c>
      <x:c r="D11" s="5" t="str">
        <x:v>pp. 137–150; hindlimb/foot description around pp. 145–146</x:v>
      </x:c>
      <x:c r="E11" s="5" t="str">
        <x:v>Gallimimus/ornithomimid limb and foot morphology; ornithomimid loss of hallux; long distal elements.</x:v>
      </x:c>
      <x:c r="F11" s="5" t="str">
        <x:v>Morphology, not measured Gallimimus speeds or joint limits. Do not apply its pre-2014 Deinocheirus account as current reconstruction.</x:v>
      </x:c>
      <x:c r="G11" s="5" t="str">
        <x:v>https://doi.org/10.1525/california/9780520242098.003.0008</x:v>
      </x:c>
    </x:row>
    <x:row r="12" ht="126" customHeight="1">
      <x:c r="A12" s="5" t="str">
        <x:v>S3</x:v>
      </x:c>
      <x:c r="B12" s="5" t="str">
        <x:v>Marsh &amp; Rowe (2020), A comprehensive anatomical and phylogenetic evaluation of Dilophosaurus wetherilli</x:v>
      </x:c>
      <x:c r="C12" s="5" t="str">
        <x:v>External primary research abstract hosted by author institution</x:v>
      </x:c>
      <x:c r="D12" s="5" t="str">
        <x:v>Author-institution publication abstract, skeletal and phylogenetic conclusions</x:v>
      </x:c>
      <x:c r="E12" s="5" t="str">
        <x:v>Large-bodied early theropod; the study does not recover it as a coelophysoid; differentiated axial anatomy.</x:v>
      </x:c>
      <x:c r="F12" s="5" t="str">
        <x:v>No species gait timeseries or maximum speed in the accessed abstract. Coelophysis is a methodological comparator, not the same body.</x:v>
      </x:c>
      <x:c r="G12" s="5" t="str">
        <x:v>https://www.jsg.utexas.edu/txvp/dilophosaurus/</x:v>
      </x:c>
    </x:row>
    <x:row r="13" ht="126" customHeight="1">
      <x:c r="A13" s="5" t="str">
        <x:v>S4</x:v>
      </x:c>
      <x:c r="B13" s="5" t="str">
        <x:v>Sullivan (2006), A taxonomic review of the Pachycephalosauridae</x:v>
      </x:c>
      <x:c r="C13" s="5" t="str">
        <x:v>External author-uploaded anatomical/taxonomic research</x:v>
      </x:c>
      <x:c r="D13" s="5" t="str">
        <x:v>p. 356, Prenocephale prenes; Fig. 6</x:v>
      </x:c>
      <x:c r="E13" s="5" t="str">
        <x:v>Prenocephale holotype Z. Pal. MgD-I/104 includes nearly complete skull and partial postcranium; ornithischian identity.</x:v>
      </x:c>
      <x:c r="F13" s="5" t="str">
        <x:v>Not a dynamic gait model or head-impact performance calibration. Partial postcranium is not absence of all postcranial evidence.</x:v>
      </x:c>
      <x:c r="G13" s="5" t="str">
        <x:v>https://www.researchgate.net/publication/240625747_A_taxonomic_review_of_the_Pachycephalosauridae_Dinosauria_Ornithischia</x:v>
      </x:c>
    </x:row>
    <x:row r="14" ht="126" customHeight="1">
      <x:c r="A14" s="5" t="str">
        <x:v>S5</x:v>
      </x:c>
      <x:c r="B14" s="5" t="str">
        <x:v>Lee et al. (2014), Resolving the long-standing enigmas of a giant ornithomimosaur Deinocheirus mirificus</x:v>
      </x:c>
      <x:c r="C14" s="5" t="str">
        <x:v>External primary research</x:v>
      </x:c>
      <x:c r="D14" s="5" t="str">
        <x:v>Abstract; specimens MPC-D 100/127 and 100/128; supplementary description</x:v>
      </x:c>
      <x:c r="E14" s="5" t="str">
        <x:v>Heavily built non-cursorial body, short hindlimbs, broad-tipped pedal unguals, distinctive axial anatomy.</x:v>
      </x:c>
      <x:c r="F14" s="5" t="str">
        <x:v>Does not establish the proposed duty factors or a biological prohibition of all aerial movement. Numeric mass is not extracted from the accessible abstract/supplement here.</x:v>
      </x:c>
      <x:c r="G14" s="5" t="str">
        <x:v>https://doi.org/10.1038/nature13874</x:v>
      </x:c>
    </x:row>
    <x:row r="15" ht="126" customHeight="1">
      <x:c r="A15" s="5" t="str">
        <x:v>R5</x:v>
      </x:c>
      <x:c r="B15" s="5" t="str">
        <x:v>Dececchi et al. (2020), The fast and the frugal</x:v>
      </x:c>
      <x:c r="C15" s="5" t="str">
        <x:v>External primary research</x:v>
      </x:c>
      <x:c r="D15" s="5" t="str">
        <x:v>Methods: Relative leg length and max speed; Postural considerations</x:v>
      </x:c>
      <x:c r="E15" s="5" t="str">
        <x:v>Dimensionless speed scaling and explicit hip-height proxy assumptions; cautions on simple limb indices.</x:v>
      </x:c>
      <x:c r="F15" s="5" t="str">
        <x:v>Froude-based speed is not independent validation or a universal gait classifier. Do not use 0.8 × limb length as a compulsory standing height.</x:v>
      </x:c>
      <x:c r="G15" s="5" t="str">
        <x:v>https://doi.org/10.1371/journal.pone.0223698</x:v>
      </x:c>
    </x:row>
    <x:row r="16" ht="126" customHeight="1">
      <x:c r="A16" s="5" t="str">
        <x:v>REPO</x:v>
      </x:c>
      <x:c r="B16" s="5" t="str">
        <x:v>Eonwild Factory, requested branch snapshot</x:v>
      </x:c>
      <x:c r="C16" s="5" t="str">
        <x:v>Connected repository read</x:v>
      </x:c>
      <x:c r="D16" s="5" t="str">
        <x:v>Models directory; catalog/animals; docs/ANIMAL_CONFIGURATION.md; grounded walk v3 recipe and program profile</x:v>
      </x:c>
      <x:c r="E16" s="5" t="str">
        <x:v>Exact five-asset inventory and existing profile separation; current mass-related diagnostic boundary.</x:v>
      </x:c>
      <x:c r="F16" s="5" t="str">
        <x:v>Repository listing is not GLB geometry inspection or anatomical validation. No target-five animal instances in catalog/animals at this snapshot.</x:v>
      </x:c>
      <x:c r="G16" s="5" t="str">
        <x:v>https://github.com/hurtener/eonwild-factory/tree/987bd6b82caf3ff661d6927aa530df40fe71b30e/assets/animals/Models</x:v>
      </x:c>
    </x:row>
    <x:row r="17" ht="126" customHeight="1">
      <x:c r="A17" s="5" t="str">
        <x:v>E1</x:v>
      </x:c>
      <x:c r="B17" s="5" t="str">
        <x:v>Eonwild authoring proposal, 2026-09-21</x:v>
      </x:c>
      <x:c r="C17" s="5" t="str">
        <x:v>New engineering proposal</x:v>
      </x:c>
      <x:c r="D17" s="5" t="str">
        <x:v>This workbook and companion proposal JSON</x:v>
      </x:c>
      <x:c r="E17" s="5" t="str">
        <x:v>Explicit initial search targets, capability staging, control design and proposed acceptance checks.</x:v>
      </x:c>
      <x:c r="F17" s="5" t="str">
        <x:v>All values tagged E1 are engineering hypotheses, not measurements, confidence intervals, biological limits, approved motion, or loadable production profiles.</x:v>
      </x:c>
      <x:c r="G17" s="5" t="str">
        <x:v>New proposal; see companion JSON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ba933c2c661c433d"/>
  </x:tableParts>
</x:worksheet>
</file>